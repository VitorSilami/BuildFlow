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oncessionariasulminas-my.sharepoint.com/personal/eduardo_azevedo_eprtriangulo_com_br/Documents/Área de Trabalho/MODELOS PLANEJAMENTO/"/>
    </mc:Choice>
  </mc:AlternateContent>
  <xr:revisionPtr revIDLastSave="2" documentId="8_{4A80B37E-1ABA-4E9B-A311-181717245C05}" xr6:coauthVersionLast="47" xr6:coauthVersionMax="47" xr10:uidLastSave="{C282BEA3-18EF-48E7-BCFB-38F3DDF81E5D}"/>
  <bookViews>
    <workbookView xWindow="28680" yWindow="-120" windowWidth="29040" windowHeight="15720" activeTab="2" xr2:uid="{B0734301-F487-40C2-B48F-4FFF3D31E570}"/>
  </bookViews>
  <sheets>
    <sheet name="EXPORT_PROJECT" sheetId="1" r:id="rId1"/>
    <sheet name="BASE_QTD_L2" sheetId="3" r:id="rId2"/>
    <sheet name="BASE_EAP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7" i="1" l="1"/>
  <c r="I37" i="1"/>
  <c r="H37" i="1"/>
  <c r="G37" i="1"/>
  <c r="F37" i="1"/>
  <c r="E37" i="1"/>
  <c r="D37" i="1"/>
  <c r="C37" i="1"/>
  <c r="B37" i="1"/>
  <c r="A37" i="1"/>
  <c r="J36" i="1"/>
  <c r="I36" i="1"/>
  <c r="H36" i="1"/>
  <c r="G36" i="1"/>
  <c r="F36" i="1"/>
  <c r="E36" i="1"/>
  <c r="D36" i="1"/>
  <c r="C36" i="1"/>
  <c r="B36" i="1"/>
  <c r="A36" i="1"/>
  <c r="J35" i="1"/>
  <c r="I35" i="1"/>
  <c r="H35" i="1"/>
  <c r="G35" i="1"/>
  <c r="F35" i="1"/>
  <c r="E35" i="1"/>
  <c r="D35" i="1"/>
  <c r="C35" i="1"/>
  <c r="B35" i="1"/>
  <c r="A35" i="1"/>
  <c r="J34" i="1"/>
  <c r="I34" i="1"/>
  <c r="H34" i="1"/>
  <c r="G34" i="1"/>
  <c r="F34" i="1"/>
  <c r="E34" i="1"/>
  <c r="D34" i="1"/>
  <c r="C34" i="1"/>
  <c r="B34" i="1"/>
  <c r="A34" i="1"/>
  <c r="J33" i="1"/>
  <c r="I33" i="1"/>
  <c r="H33" i="1"/>
  <c r="G33" i="1"/>
  <c r="F33" i="1"/>
  <c r="E33" i="1"/>
  <c r="D33" i="1"/>
  <c r="C33" i="1"/>
  <c r="B33" i="1"/>
  <c r="A33" i="1"/>
  <c r="J32" i="1"/>
  <c r="I32" i="1"/>
  <c r="H32" i="1"/>
  <c r="G32" i="1"/>
  <c r="F32" i="1"/>
  <c r="E32" i="1"/>
  <c r="D32" i="1"/>
  <c r="C32" i="1"/>
  <c r="B32" i="1"/>
  <c r="A32" i="1"/>
  <c r="J31" i="1"/>
  <c r="I31" i="1"/>
  <c r="H31" i="1"/>
  <c r="G31" i="1"/>
  <c r="F31" i="1"/>
  <c r="E31" i="1"/>
  <c r="D31" i="1"/>
  <c r="C31" i="1"/>
  <c r="B31" i="1"/>
  <c r="A31" i="1"/>
  <c r="J30" i="1"/>
  <c r="I30" i="1"/>
  <c r="H30" i="1"/>
  <c r="G30" i="1"/>
  <c r="F30" i="1"/>
  <c r="E30" i="1"/>
  <c r="D30" i="1"/>
  <c r="C30" i="1"/>
  <c r="B30" i="1"/>
  <c r="A30" i="1"/>
  <c r="J29" i="1"/>
  <c r="I29" i="1"/>
  <c r="H29" i="1"/>
  <c r="G29" i="1"/>
  <c r="F29" i="1"/>
  <c r="E29" i="1"/>
  <c r="D29" i="1"/>
  <c r="C29" i="1"/>
  <c r="B29" i="1"/>
  <c r="A29" i="1"/>
  <c r="J28" i="1"/>
  <c r="I28" i="1"/>
  <c r="H28" i="1"/>
  <c r="G28" i="1"/>
  <c r="F28" i="1"/>
  <c r="E28" i="1"/>
  <c r="D28" i="1"/>
  <c r="C28" i="1"/>
  <c r="B28" i="1"/>
  <c r="A28" i="1"/>
  <c r="J27" i="1"/>
  <c r="I27" i="1"/>
  <c r="H27" i="1"/>
  <c r="G27" i="1"/>
  <c r="F27" i="1"/>
  <c r="E27" i="1"/>
  <c r="D27" i="1"/>
  <c r="C27" i="1"/>
  <c r="B27" i="1"/>
  <c r="A27" i="1"/>
  <c r="J26" i="1"/>
  <c r="I26" i="1"/>
  <c r="H26" i="1"/>
  <c r="G26" i="1"/>
  <c r="F26" i="1"/>
  <c r="E26" i="1"/>
  <c r="D26" i="1"/>
  <c r="C26" i="1"/>
  <c r="B26" i="1"/>
  <c r="A26" i="1"/>
  <c r="J25" i="1"/>
  <c r="I25" i="1"/>
  <c r="H25" i="1"/>
  <c r="G25" i="1"/>
  <c r="F25" i="1"/>
  <c r="E25" i="1"/>
  <c r="D25" i="1"/>
  <c r="C25" i="1"/>
  <c r="B25" i="1"/>
  <c r="A25" i="1"/>
  <c r="J24" i="1"/>
  <c r="I24" i="1"/>
  <c r="H24" i="1"/>
  <c r="G24" i="1"/>
  <c r="F24" i="1"/>
  <c r="E24" i="1"/>
  <c r="D24" i="1"/>
  <c r="C24" i="1"/>
  <c r="B24" i="1"/>
  <c r="A24" i="1"/>
  <c r="J23" i="1"/>
  <c r="I23" i="1"/>
  <c r="H23" i="1"/>
  <c r="G23" i="1"/>
  <c r="F23" i="1"/>
  <c r="E23" i="1"/>
  <c r="D23" i="1"/>
  <c r="C23" i="1"/>
  <c r="B23" i="1"/>
  <c r="A23" i="1"/>
  <c r="J22" i="1"/>
  <c r="I22" i="1"/>
  <c r="H22" i="1"/>
  <c r="G22" i="1"/>
  <c r="F22" i="1"/>
  <c r="E22" i="1"/>
  <c r="D22" i="1"/>
  <c r="C22" i="1"/>
  <c r="B22" i="1"/>
  <c r="A22" i="1"/>
  <c r="J21" i="1"/>
  <c r="I21" i="1"/>
  <c r="H21" i="1"/>
  <c r="G21" i="1"/>
  <c r="F21" i="1"/>
  <c r="E21" i="1"/>
  <c r="D21" i="1"/>
  <c r="C21" i="1"/>
  <c r="B21" i="1"/>
  <c r="A21" i="1"/>
  <c r="J20" i="1"/>
  <c r="I20" i="1"/>
  <c r="H20" i="1"/>
  <c r="G20" i="1"/>
  <c r="F20" i="1"/>
  <c r="E20" i="1"/>
  <c r="D20" i="1"/>
  <c r="C20" i="1"/>
  <c r="B20" i="1"/>
  <c r="A20" i="1"/>
  <c r="J19" i="1"/>
  <c r="I19" i="1"/>
  <c r="H19" i="1"/>
  <c r="G19" i="1"/>
  <c r="F19" i="1"/>
  <c r="E19" i="1"/>
  <c r="D19" i="1"/>
  <c r="C19" i="1"/>
  <c r="B19" i="1"/>
  <c r="A19" i="1"/>
  <c r="J18" i="1"/>
  <c r="I18" i="1"/>
  <c r="H18" i="1"/>
  <c r="G18" i="1"/>
  <c r="F18" i="1"/>
  <c r="E18" i="1"/>
  <c r="D18" i="1"/>
  <c r="C18" i="1"/>
  <c r="B18" i="1"/>
  <c r="A18" i="1"/>
  <c r="J17" i="1"/>
  <c r="I17" i="1"/>
  <c r="H17" i="1"/>
  <c r="G17" i="1"/>
  <c r="F17" i="1"/>
  <c r="E17" i="1"/>
  <c r="D17" i="1"/>
  <c r="C17" i="1"/>
  <c r="B17" i="1"/>
  <c r="A17" i="1"/>
  <c r="J16" i="1"/>
  <c r="I16" i="1"/>
  <c r="H16" i="1"/>
  <c r="G16" i="1"/>
  <c r="F16" i="1"/>
  <c r="E16" i="1"/>
  <c r="D16" i="1"/>
  <c r="C16" i="1"/>
  <c r="B16" i="1"/>
  <c r="A16" i="1"/>
  <c r="J15" i="1"/>
  <c r="I15" i="1"/>
  <c r="H15" i="1"/>
  <c r="G15" i="1"/>
  <c r="F15" i="1"/>
  <c r="E15" i="1"/>
  <c r="D15" i="1"/>
  <c r="C15" i="1"/>
  <c r="B15" i="1"/>
  <c r="A15" i="1"/>
  <c r="J14" i="1"/>
  <c r="I14" i="1"/>
  <c r="H14" i="1"/>
  <c r="G14" i="1"/>
  <c r="F14" i="1"/>
  <c r="E14" i="1"/>
  <c r="D14" i="1"/>
  <c r="C14" i="1"/>
  <c r="B14" i="1"/>
  <c r="A14" i="1"/>
  <c r="J13" i="1"/>
  <c r="I13" i="1"/>
  <c r="H13" i="1"/>
  <c r="G13" i="1"/>
  <c r="F13" i="1"/>
  <c r="E13" i="1"/>
  <c r="D13" i="1"/>
  <c r="C13" i="1"/>
  <c r="B13" i="1"/>
  <c r="A13" i="1"/>
  <c r="J12" i="1"/>
  <c r="I12" i="1"/>
  <c r="H12" i="1"/>
  <c r="G12" i="1"/>
  <c r="F12" i="1"/>
  <c r="E12" i="1"/>
  <c r="D12" i="1"/>
  <c r="C12" i="1"/>
  <c r="B12" i="1"/>
  <c r="A12" i="1"/>
  <c r="J11" i="1"/>
  <c r="I11" i="1"/>
  <c r="H11" i="1"/>
  <c r="G11" i="1"/>
  <c r="F11" i="1"/>
  <c r="E11" i="1"/>
  <c r="D11" i="1"/>
  <c r="C11" i="1"/>
  <c r="B11" i="1"/>
  <c r="A11" i="1"/>
  <c r="J10" i="1"/>
  <c r="I10" i="1"/>
  <c r="H10" i="1"/>
  <c r="G10" i="1"/>
  <c r="F10" i="1"/>
  <c r="E10" i="1"/>
  <c r="D10" i="1"/>
  <c r="C10" i="1"/>
  <c r="B10" i="1"/>
  <c r="A10" i="1"/>
  <c r="J9" i="1"/>
  <c r="I9" i="1"/>
  <c r="H9" i="1"/>
  <c r="G9" i="1"/>
  <c r="F9" i="1"/>
  <c r="E9" i="1"/>
  <c r="D9" i="1"/>
  <c r="C9" i="1"/>
  <c r="B9" i="1"/>
  <c r="A9" i="1"/>
  <c r="J8" i="1"/>
  <c r="I8" i="1"/>
  <c r="H8" i="1"/>
  <c r="G8" i="1"/>
  <c r="F8" i="1"/>
  <c r="E8" i="1"/>
  <c r="D8" i="1"/>
  <c r="C8" i="1"/>
  <c r="B8" i="1"/>
  <c r="A8" i="1"/>
  <c r="J7" i="1"/>
  <c r="I7" i="1"/>
  <c r="H7" i="1"/>
  <c r="G7" i="1"/>
  <c r="F7" i="1"/>
  <c r="E7" i="1"/>
  <c r="D7" i="1"/>
  <c r="C7" i="1"/>
  <c r="B7" i="1"/>
  <c r="A7" i="1"/>
  <c r="J6" i="1"/>
  <c r="I6" i="1"/>
  <c r="H6" i="1"/>
  <c r="G6" i="1"/>
  <c r="F6" i="1"/>
  <c r="E6" i="1"/>
  <c r="D6" i="1"/>
  <c r="C6" i="1"/>
  <c r="B6" i="1"/>
  <c r="A6" i="1"/>
  <c r="J5" i="1"/>
  <c r="I5" i="1"/>
  <c r="H5" i="1"/>
  <c r="G5" i="1"/>
  <c r="F5" i="1"/>
  <c r="E5" i="1"/>
  <c r="D5" i="1"/>
  <c r="C5" i="1"/>
  <c r="B5" i="1"/>
  <c r="A5" i="1"/>
  <c r="J4" i="1"/>
  <c r="I4" i="1"/>
  <c r="H4" i="1"/>
  <c r="G4" i="1"/>
  <c r="F4" i="1"/>
  <c r="E4" i="1"/>
  <c r="D4" i="1"/>
  <c r="C4" i="1"/>
  <c r="B4" i="1"/>
  <c r="A4" i="1"/>
</calcChain>
</file>

<file path=xl/sharedStrings.xml><?xml version="1.0" encoding="utf-8"?>
<sst xmlns="http://schemas.openxmlformats.org/spreadsheetml/2006/main" count="216" uniqueCount="108">
  <si>
    <t>BASE DE IMPORTAÇÃO PARA MICROSOFT PROJECT</t>
  </si>
  <si>
    <t>Task Name</t>
  </si>
  <si>
    <t>WBS</t>
  </si>
  <si>
    <t>Outline Level</t>
  </si>
  <si>
    <t>Start</t>
  </si>
  <si>
    <t>Finish</t>
  </si>
  <si>
    <t>Duration</t>
  </si>
  <si>
    <t>Resource Names</t>
  </si>
  <si>
    <t>Cost</t>
  </si>
  <si>
    <t>Phase</t>
  </si>
  <si>
    <t>Lot</t>
  </si>
  <si>
    <t>ESTRUTURA ANALÍTICA DO PROJETO – EAP</t>
  </si>
  <si>
    <t>EAP</t>
  </si>
  <si>
    <t>NÍVEL</t>
  </si>
  <si>
    <t>DISCIPLINA</t>
  </si>
  <si>
    <t>ATIVIDADE / PACOTE DE TRABALHO</t>
  </si>
  <si>
    <t>UNIDADE</t>
  </si>
  <si>
    <t>OBSERVAÇÃO</t>
  </si>
  <si>
    <t>1</t>
  </si>
  <si>
    <t>Mobilizações e Preparos Iniciais</t>
  </si>
  <si>
    <t>Mobilização, canteiro, acessos e preparação</t>
  </si>
  <si>
    <t>vb</t>
  </si>
  <si>
    <t>Premissa gerencial por fase</t>
  </si>
  <si>
    <t>2</t>
  </si>
  <si>
    <t>Serviços Preliminares</t>
  </si>
  <si>
    <t>Limpeza, desmatamento e destocamento</t>
  </si>
  <si>
    <t>m²</t>
  </si>
  <si>
    <t>Referência fornecida</t>
  </si>
  <si>
    <t>3.1</t>
  </si>
  <si>
    <t>Terraplenagem</t>
  </si>
  <si>
    <t>Escavação de 1ª Categoria</t>
  </si>
  <si>
    <t>m³</t>
  </si>
  <si>
    <t>Alta produtividade</t>
  </si>
  <si>
    <t>3.2</t>
  </si>
  <si>
    <t>Escavação de 2ª Categoria</t>
  </si>
  <si>
    <t>Martelete/picão necessário</t>
  </si>
  <si>
    <t>3.3</t>
  </si>
  <si>
    <t>Escavação de 3ª Categoria</t>
  </si>
  <si>
    <t>Depende do tipo de rocha</t>
  </si>
  <si>
    <t>3.4</t>
  </si>
  <si>
    <t>Escavação de Solo Mole</t>
  </si>
  <si>
    <t>Premissa conservadora</t>
  </si>
  <si>
    <t>3.5</t>
  </si>
  <si>
    <t>Aterro Proctor Normal (Corpo de Aterro)</t>
  </si>
  <si>
    <t>Camadas de 20 cm compactadas</t>
  </si>
  <si>
    <t>3.6</t>
  </si>
  <si>
    <t>Aterro Proctor Intermediário (CFT)</t>
  </si>
  <si>
    <t>4.1</t>
  </si>
  <si>
    <t>Pavimentação</t>
  </si>
  <si>
    <t>Subleito</t>
  </si>
  <si>
    <t>Premissa paramétrica</t>
  </si>
  <si>
    <t>4.2</t>
  </si>
  <si>
    <t>Sub-base</t>
  </si>
  <si>
    <t>4.3</t>
  </si>
  <si>
    <t>Base</t>
  </si>
  <si>
    <t>Cura e liberação antes do revestimento</t>
  </si>
  <si>
    <t>4.4</t>
  </si>
  <si>
    <t>Revestimento</t>
  </si>
  <si>
    <t>t</t>
  </si>
  <si>
    <t>Gap Graded/EGL/CAUQ; controle térmico</t>
  </si>
  <si>
    <t>5.1.1</t>
  </si>
  <si>
    <t>Drenagem</t>
  </si>
  <si>
    <t>Bueiro Tubular</t>
  </si>
  <si>
    <t>m</t>
  </si>
  <si>
    <t>Premissa de montagem por frente</t>
  </si>
  <si>
    <t>5.1.2</t>
  </si>
  <si>
    <t>Bueiro Celular</t>
  </si>
  <si>
    <t>5.2</t>
  </si>
  <si>
    <t>Drenagem Superficial</t>
  </si>
  <si>
    <t>Sarjetas, valetas e dispositivos</t>
  </si>
  <si>
    <t>6.1</t>
  </si>
  <si>
    <t>Sinalização e Segurança</t>
  </si>
  <si>
    <t>Sinalização Vertical</t>
  </si>
  <si>
    <t>un</t>
  </si>
  <si>
    <t>Premissa paramétrica por fase</t>
  </si>
  <si>
    <t>6.2</t>
  </si>
  <si>
    <t>Sinalização Horizontal</t>
  </si>
  <si>
    <t>6.3</t>
  </si>
  <si>
    <t>EPS – Elementos de Proteção e Segurança</t>
  </si>
  <si>
    <t>7</t>
  </si>
  <si>
    <t>Obras Complementares</t>
  </si>
  <si>
    <t>m² eq.</t>
  </si>
  <si>
    <t>Hidrossemeadura, enleivamento e acabamentos</t>
  </si>
  <si>
    <t>BASE CONSOLIDADA DE QUANTIDADES – LOTE 2 – PATROCÍNIO</t>
  </si>
  <si>
    <t>CHAVE</t>
  </si>
  <si>
    <t>ATIVIDADE</t>
  </si>
  <si>
    <t>UN</t>
  </si>
  <si>
    <t>TOTAL</t>
  </si>
  <si>
    <t>MOB</t>
  </si>
  <si>
    <t>PRE</t>
  </si>
  <si>
    <t>E1</t>
  </si>
  <si>
    <t>E2</t>
  </si>
  <si>
    <t>E3</t>
  </si>
  <si>
    <t>SM</t>
  </si>
  <si>
    <t>APN</t>
  </si>
  <si>
    <t>API</t>
  </si>
  <si>
    <t>SL</t>
  </si>
  <si>
    <t>SB</t>
  </si>
  <si>
    <t>BA</t>
  </si>
  <si>
    <t>REV</t>
  </si>
  <si>
    <t>BT</t>
  </si>
  <si>
    <t>BC</t>
  </si>
  <si>
    <t>DS</t>
  </si>
  <si>
    <t>SV</t>
  </si>
  <si>
    <t>SH</t>
  </si>
  <si>
    <t>EPS</t>
  </si>
  <si>
    <t>OC</t>
  </si>
  <si>
    <t>Nota: quantidades de sinalização, EPS, subleito e mobilização foram parametrizadas para viabilizar o planejamento preliminar. Devem ser substituídas pelas medições/projetos executivos quando consolidados. O revestimento foi convertido para toneladas.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</si>
</sst>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5">
    <font>
      <sz val="11"/>
      <name val="Carlito"/>
    </font>
    <font>
      <b/>
      <sz val="18"/>
      <color rgb="FFFFFFFF"/>
      <name val="Carlito"/>
    </font>
    <font>
      <i/>
      <sz val="9"/>
      <color rgb="FF17365D"/>
      <name val="Carlito"/>
    </font>
    <font>
      <b/>
      <sz val="9"/>
      <color rgb="FFFFFFFF"/>
      <name val="Carlito"/>
    </font>
    <font>
      <sz val="9"/>
      <color rgb="FF1F1F1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4" fontId="4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duardoOliveiraDeAze\Downloads\Cronograma_BR365_Uberlandia_Patrocinio_REV03_LOGICA_PROJECT.xlsx" TargetMode="External"/><Relationship Id="rId1" Type="http://schemas.openxmlformats.org/officeDocument/2006/relationships/externalLinkPath" Target="file:///C:\Users\EduardoOliveiraDeAze\Downloads\Cronograma_BR365_Uberlandia_Patrocinio_REV03_LOGICA_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ESENTAÇÃO"/>
      <sheetName val="PRATICABILIDADE"/>
      <sheetName val="FASEAMENTO"/>
      <sheetName val="CRONO_LOTE_1"/>
      <sheetName val="CRONO_LOTE_2"/>
      <sheetName val="CURVA_S"/>
      <sheetName val="EXPORT_PROJECT"/>
      <sheetName val="BASE_EAP"/>
      <sheetName val="BASE_QTD_L1"/>
      <sheetName val="BASE_QTD_L2"/>
      <sheetName val="PREMISSAS"/>
      <sheetName val="GANTT_LOTE_1"/>
      <sheetName val="GANTT_LOTE_2"/>
      <sheetName val="PROJECT_IMPORT_REDE"/>
      <sheetName val="MATRIZ_VINCULOS"/>
      <sheetName val="EAP_PROJECT"/>
      <sheetName val="ANALISE_CPM"/>
    </sheetNames>
    <sheetDataSet>
      <sheetData sheetId="0"/>
      <sheetData sheetId="1"/>
      <sheetData sheetId="2"/>
      <sheetData sheetId="3"/>
      <sheetData sheetId="4">
        <row r="6">
          <cell r="B6" t="str">
            <v>Lote 2 – Patrocínio</v>
          </cell>
          <cell r="C6" t="str">
            <v>L2-F1</v>
          </cell>
          <cell r="D6" t="str">
            <v>1</v>
          </cell>
          <cell r="E6">
            <v>1</v>
          </cell>
          <cell r="G6" t="str">
            <v>Mobilização, canteiro, acessos e preparação</v>
          </cell>
          <cell r="P6">
            <v>1</v>
          </cell>
          <cell r="Q6">
            <v>20</v>
          </cell>
          <cell r="R6">
            <v>46266</v>
          </cell>
          <cell r="S6">
            <v>46289</v>
          </cell>
          <cell r="U6">
            <v>0</v>
          </cell>
        </row>
        <row r="7">
          <cell r="B7" t="str">
            <v>Lote 2 – Patrocínio</v>
          </cell>
          <cell r="C7" t="str">
            <v>L2-F1</v>
          </cell>
          <cell r="D7" t="str">
            <v>2</v>
          </cell>
          <cell r="E7">
            <v>1</v>
          </cell>
          <cell r="G7" t="str">
            <v>Limpeza, desmatamento e destocamento</v>
          </cell>
          <cell r="P7">
            <v>1</v>
          </cell>
          <cell r="Q7">
            <v>76</v>
          </cell>
          <cell r="R7">
            <v>46274</v>
          </cell>
          <cell r="S7">
            <v>46365</v>
          </cell>
          <cell r="U7">
            <v>0</v>
          </cell>
        </row>
        <row r="8">
          <cell r="B8" t="str">
            <v>Lote 2 – Patrocínio</v>
          </cell>
          <cell r="C8" t="str">
            <v>L2-F1</v>
          </cell>
          <cell r="D8" t="str">
            <v>3.1</v>
          </cell>
          <cell r="E8">
            <v>2</v>
          </cell>
          <cell r="G8" t="str">
            <v>Escavação de 1ª Categoria</v>
          </cell>
          <cell r="P8">
            <v>3</v>
          </cell>
          <cell r="Q8">
            <v>197</v>
          </cell>
          <cell r="R8">
            <v>46284</v>
          </cell>
          <cell r="S8">
            <v>46525</v>
          </cell>
          <cell r="U8">
            <v>0</v>
          </cell>
        </row>
        <row r="12">
          <cell r="B12" t="str">
            <v>Lote 2 – Patrocínio</v>
          </cell>
          <cell r="C12" t="str">
            <v>L2-F1</v>
          </cell>
          <cell r="D12" t="str">
            <v>3.5</v>
          </cell>
          <cell r="E12">
            <v>2</v>
          </cell>
          <cell r="G12" t="str">
            <v>Aterro Proctor Normal (Corpo de Aterro)</v>
          </cell>
          <cell r="P12">
            <v>2</v>
          </cell>
          <cell r="Q12">
            <v>130</v>
          </cell>
          <cell r="R12">
            <v>46321</v>
          </cell>
          <cell r="S12">
            <v>46479</v>
          </cell>
          <cell r="U12">
            <v>0</v>
          </cell>
        </row>
        <row r="13">
          <cell r="B13" t="str">
            <v>Lote 2 – Patrocínio</v>
          </cell>
          <cell r="C13" t="str">
            <v>L2-F1</v>
          </cell>
          <cell r="D13" t="str">
            <v>3.6</v>
          </cell>
          <cell r="E13">
            <v>2</v>
          </cell>
          <cell r="G13" t="str">
            <v>Aterro Proctor Intermediário (CFT)</v>
          </cell>
          <cell r="P13">
            <v>1</v>
          </cell>
          <cell r="Q13">
            <v>83</v>
          </cell>
          <cell r="R13">
            <v>46339</v>
          </cell>
          <cell r="S13">
            <v>46441</v>
          </cell>
          <cell r="U13">
            <v>0</v>
          </cell>
        </row>
        <row r="14">
          <cell r="B14" t="str">
            <v>Lote 2 – Patrocínio</v>
          </cell>
          <cell r="C14" t="str">
            <v>L2-F1</v>
          </cell>
          <cell r="D14" t="str">
            <v>4.1</v>
          </cell>
          <cell r="E14">
            <v>2</v>
          </cell>
          <cell r="G14" t="str">
            <v>Subleito</v>
          </cell>
          <cell r="P14">
            <v>2</v>
          </cell>
          <cell r="Q14">
            <v>125</v>
          </cell>
          <cell r="R14">
            <v>46413</v>
          </cell>
          <cell r="S14">
            <v>46564</v>
          </cell>
          <cell r="U14">
            <v>0</v>
          </cell>
        </row>
        <row r="15">
          <cell r="B15" t="str">
            <v>Lote 2 – Patrocínio</v>
          </cell>
          <cell r="C15" t="str">
            <v>L2-F1</v>
          </cell>
          <cell r="D15" t="str">
            <v>4.2</v>
          </cell>
          <cell r="E15">
            <v>2</v>
          </cell>
          <cell r="G15" t="str">
            <v>Sub-base</v>
          </cell>
          <cell r="P15">
            <v>1</v>
          </cell>
          <cell r="Q15">
            <v>61</v>
          </cell>
          <cell r="R15">
            <v>46436</v>
          </cell>
          <cell r="S15">
            <v>46510</v>
          </cell>
          <cell r="U15">
            <v>0</v>
          </cell>
        </row>
        <row r="16">
          <cell r="B16" t="str">
            <v>Lote 2 – Patrocínio</v>
          </cell>
          <cell r="C16" t="str">
            <v>L2-F1</v>
          </cell>
          <cell r="D16" t="str">
            <v>4.3</v>
          </cell>
          <cell r="E16">
            <v>2</v>
          </cell>
          <cell r="G16" t="str">
            <v>Base</v>
          </cell>
          <cell r="P16">
            <v>1</v>
          </cell>
          <cell r="Q16">
            <v>103</v>
          </cell>
          <cell r="R16">
            <v>46457</v>
          </cell>
          <cell r="S16">
            <v>46581</v>
          </cell>
          <cell r="U16">
            <v>0</v>
          </cell>
        </row>
        <row r="17">
          <cell r="B17" t="str">
            <v>Lote 2 – Patrocínio</v>
          </cell>
          <cell r="C17" t="str">
            <v>L2-F1</v>
          </cell>
          <cell r="D17" t="str">
            <v>4.4</v>
          </cell>
          <cell r="E17">
            <v>2</v>
          </cell>
          <cell r="G17" t="str">
            <v>Revestimento</v>
          </cell>
          <cell r="P17">
            <v>1</v>
          </cell>
          <cell r="Q17">
            <v>105</v>
          </cell>
          <cell r="R17">
            <v>46479</v>
          </cell>
          <cell r="S17">
            <v>46604</v>
          </cell>
          <cell r="U17">
            <v>0</v>
          </cell>
        </row>
        <row r="18">
          <cell r="B18" t="str">
            <v>Lote 2 – Patrocínio</v>
          </cell>
          <cell r="C18" t="str">
            <v>L2-F1</v>
          </cell>
          <cell r="D18" t="str">
            <v>5.1.1</v>
          </cell>
          <cell r="E18">
            <v>3</v>
          </cell>
          <cell r="G18" t="str">
            <v>Bueiro Tubular</v>
          </cell>
          <cell r="P18">
            <v>1</v>
          </cell>
          <cell r="Q18">
            <v>112</v>
          </cell>
          <cell r="R18">
            <v>46302</v>
          </cell>
          <cell r="S18">
            <v>46440</v>
          </cell>
          <cell r="U18">
            <v>0</v>
          </cell>
        </row>
        <row r="19">
          <cell r="B19" t="str">
            <v>Lote 2 – Patrocínio</v>
          </cell>
          <cell r="C19" t="str">
            <v>L2-F1</v>
          </cell>
          <cell r="D19" t="str">
            <v>5.1.2</v>
          </cell>
          <cell r="E19">
            <v>3</v>
          </cell>
          <cell r="G19" t="str">
            <v>Bueiro Celular</v>
          </cell>
          <cell r="P19">
            <v>1</v>
          </cell>
          <cell r="Q19">
            <v>42</v>
          </cell>
          <cell r="R19">
            <v>46310</v>
          </cell>
          <cell r="S19">
            <v>46360</v>
          </cell>
          <cell r="U19">
            <v>0</v>
          </cell>
        </row>
        <row r="20">
          <cell r="B20" t="str">
            <v>Lote 2 – Patrocínio</v>
          </cell>
          <cell r="C20" t="str">
            <v>L2-F1</v>
          </cell>
          <cell r="D20" t="str">
            <v>5.2</v>
          </cell>
          <cell r="E20">
            <v>2</v>
          </cell>
          <cell r="G20" t="str">
            <v>Drenagem Superficial</v>
          </cell>
          <cell r="P20">
            <v>2</v>
          </cell>
          <cell r="Q20">
            <v>173</v>
          </cell>
          <cell r="R20">
            <v>46375</v>
          </cell>
          <cell r="S20">
            <v>46585</v>
          </cell>
          <cell r="U20">
            <v>0</v>
          </cell>
        </row>
        <row r="21">
          <cell r="B21" t="str">
            <v>Lote 2 – Patrocínio</v>
          </cell>
          <cell r="C21" t="str">
            <v>L2-F1</v>
          </cell>
          <cell r="D21" t="str">
            <v>6.1</v>
          </cell>
          <cell r="E21">
            <v>2</v>
          </cell>
          <cell r="G21" t="str">
            <v>Sinalização Vertical</v>
          </cell>
          <cell r="P21">
            <v>1</v>
          </cell>
          <cell r="Q21">
            <v>11</v>
          </cell>
          <cell r="R21">
            <v>46531</v>
          </cell>
          <cell r="S21">
            <v>46543</v>
          </cell>
          <cell r="U21">
            <v>0</v>
          </cell>
        </row>
        <row r="22">
          <cell r="B22" t="str">
            <v>Lote 2 – Patrocínio</v>
          </cell>
          <cell r="C22" t="str">
            <v>L2-F1</v>
          </cell>
          <cell r="D22" t="str">
            <v>6.2</v>
          </cell>
          <cell r="E22">
            <v>2</v>
          </cell>
          <cell r="G22" t="str">
            <v>Sinalização Horizontal</v>
          </cell>
          <cell r="P22">
            <v>1</v>
          </cell>
          <cell r="Q22">
            <v>5</v>
          </cell>
          <cell r="R22">
            <v>46542</v>
          </cell>
          <cell r="S22">
            <v>46547</v>
          </cell>
          <cell r="U22">
            <v>0</v>
          </cell>
        </row>
        <row r="23">
          <cell r="B23" t="str">
            <v>Lote 2 – Patrocínio</v>
          </cell>
          <cell r="C23" t="str">
            <v>L2-F1</v>
          </cell>
          <cell r="D23" t="str">
            <v>6.3</v>
          </cell>
          <cell r="E23">
            <v>2</v>
          </cell>
          <cell r="G23" t="str">
            <v>EPS – Elementos de Proteção e Segurança</v>
          </cell>
          <cell r="P23">
            <v>1</v>
          </cell>
          <cell r="Q23">
            <v>35</v>
          </cell>
          <cell r="R23">
            <v>46524</v>
          </cell>
          <cell r="S23">
            <v>46564</v>
          </cell>
          <cell r="U23">
            <v>0</v>
          </cell>
        </row>
        <row r="24">
          <cell r="B24" t="str">
            <v>Lote 2 – Patrocínio</v>
          </cell>
          <cell r="C24" t="str">
            <v>L2-F1</v>
          </cell>
          <cell r="D24" t="str">
            <v>7</v>
          </cell>
          <cell r="E24">
            <v>1</v>
          </cell>
          <cell r="G24" t="str">
            <v>Obras Complementares</v>
          </cell>
          <cell r="P24">
            <v>2</v>
          </cell>
          <cell r="Q24">
            <v>45</v>
          </cell>
          <cell r="R24">
            <v>46542</v>
          </cell>
          <cell r="S24">
            <v>46594</v>
          </cell>
          <cell r="U24">
            <v>0</v>
          </cell>
        </row>
        <row r="25">
          <cell r="B25" t="str">
            <v>Lote 2 – Patrocínio</v>
          </cell>
          <cell r="C25" t="str">
            <v>L2-F2</v>
          </cell>
          <cell r="D25" t="str">
            <v>1</v>
          </cell>
          <cell r="E25">
            <v>1</v>
          </cell>
          <cell r="G25" t="str">
            <v>Mobilização, canteiro, acessos e preparação</v>
          </cell>
          <cell r="P25">
            <v>1</v>
          </cell>
          <cell r="Q25">
            <v>20</v>
          </cell>
          <cell r="R25">
            <v>46510</v>
          </cell>
          <cell r="S25">
            <v>46532</v>
          </cell>
          <cell r="U25">
            <v>0</v>
          </cell>
        </row>
        <row r="26">
          <cell r="B26" t="str">
            <v>Lote 2 – Patrocínio</v>
          </cell>
          <cell r="C26" t="str">
            <v>L2-F2</v>
          </cell>
          <cell r="D26" t="str">
            <v>2</v>
          </cell>
          <cell r="E26">
            <v>1</v>
          </cell>
          <cell r="G26" t="str">
            <v>Limpeza, desmatamento e destocamento</v>
          </cell>
          <cell r="P26">
            <v>1</v>
          </cell>
          <cell r="Q26">
            <v>22</v>
          </cell>
          <cell r="R26">
            <v>46515</v>
          </cell>
          <cell r="S26">
            <v>46541</v>
          </cell>
          <cell r="U26">
            <v>0</v>
          </cell>
        </row>
        <row r="27">
          <cell r="B27" t="str">
            <v>Lote 2 – Patrocínio</v>
          </cell>
          <cell r="C27" t="str">
            <v>L2-F2</v>
          </cell>
          <cell r="D27" t="str">
            <v>3.1</v>
          </cell>
          <cell r="E27">
            <v>2</v>
          </cell>
          <cell r="G27" t="str">
            <v>Escavação de 1ª Categoria</v>
          </cell>
          <cell r="P27">
            <v>1</v>
          </cell>
          <cell r="Q27">
            <v>168</v>
          </cell>
          <cell r="R27">
            <v>46522</v>
          </cell>
          <cell r="S27">
            <v>46724</v>
          </cell>
          <cell r="U27">
            <v>0</v>
          </cell>
        </row>
        <row r="28">
          <cell r="B28" t="str">
            <v>Lote 2 – Patrocínio</v>
          </cell>
          <cell r="C28" t="str">
            <v>L2-F2</v>
          </cell>
          <cell r="D28" t="str">
            <v>3.2</v>
          </cell>
          <cell r="E28">
            <v>2</v>
          </cell>
          <cell r="G28" t="str">
            <v>Escavação de 2ª Categoria</v>
          </cell>
          <cell r="P28">
            <v>1</v>
          </cell>
          <cell r="Q28">
            <v>4</v>
          </cell>
          <cell r="R28">
            <v>46526</v>
          </cell>
          <cell r="S28">
            <v>46529</v>
          </cell>
          <cell r="U28">
            <v>0</v>
          </cell>
        </row>
        <row r="30">
          <cell r="B30" t="str">
            <v>Lote 2 – Patrocínio</v>
          </cell>
          <cell r="C30" t="str">
            <v>L2-F2</v>
          </cell>
          <cell r="D30" t="str">
            <v>3.4</v>
          </cell>
          <cell r="E30">
            <v>2</v>
          </cell>
          <cell r="G30" t="str">
            <v>Escavação de Solo Mole</v>
          </cell>
          <cell r="P30">
            <v>1</v>
          </cell>
          <cell r="Q30">
            <v>14</v>
          </cell>
          <cell r="R30">
            <v>46528</v>
          </cell>
          <cell r="S30">
            <v>46545</v>
          </cell>
          <cell r="U30">
            <v>0</v>
          </cell>
        </row>
        <row r="31">
          <cell r="B31" t="str">
            <v>Lote 2 – Patrocínio</v>
          </cell>
          <cell r="C31" t="str">
            <v>L2-F2</v>
          </cell>
          <cell r="D31" t="str">
            <v>3.5</v>
          </cell>
          <cell r="E31">
            <v>2</v>
          </cell>
          <cell r="G31" t="str">
            <v>Aterro Proctor Normal (Corpo de Aterro)</v>
          </cell>
          <cell r="P31">
            <v>1</v>
          </cell>
          <cell r="Q31">
            <v>66</v>
          </cell>
          <cell r="R31">
            <v>46550</v>
          </cell>
          <cell r="S31">
            <v>46626</v>
          </cell>
          <cell r="U31">
            <v>0</v>
          </cell>
        </row>
        <row r="32">
          <cell r="B32" t="str">
            <v>Lote 2 – Patrocínio</v>
          </cell>
          <cell r="C32" t="str">
            <v>L2-F2</v>
          </cell>
          <cell r="D32" t="str">
            <v>3.6</v>
          </cell>
          <cell r="E32">
            <v>2</v>
          </cell>
          <cell r="G32" t="str">
            <v>Aterro Proctor Intermediário (CFT)</v>
          </cell>
          <cell r="P32">
            <v>1</v>
          </cell>
          <cell r="Q32">
            <v>47</v>
          </cell>
          <cell r="R32">
            <v>46563</v>
          </cell>
          <cell r="S32">
            <v>46617</v>
          </cell>
          <cell r="U32">
            <v>0</v>
          </cell>
        </row>
        <row r="33">
          <cell r="B33" t="str">
            <v>Lote 2 – Patrocínio</v>
          </cell>
          <cell r="C33" t="str">
            <v>L2-F2</v>
          </cell>
          <cell r="D33" t="str">
            <v>4.1</v>
          </cell>
          <cell r="E33">
            <v>2</v>
          </cell>
          <cell r="G33" t="str">
            <v>Subleito</v>
          </cell>
          <cell r="P33">
            <v>1</v>
          </cell>
          <cell r="Q33">
            <v>97</v>
          </cell>
          <cell r="R33">
            <v>46616</v>
          </cell>
          <cell r="S33">
            <v>46734</v>
          </cell>
          <cell r="U33">
            <v>0</v>
          </cell>
        </row>
        <row r="34">
          <cell r="B34" t="str">
            <v>Lote 2 – Patrocínio</v>
          </cell>
          <cell r="C34" t="str">
            <v>L2-F2</v>
          </cell>
          <cell r="D34" t="str">
            <v>4.2</v>
          </cell>
          <cell r="E34">
            <v>2</v>
          </cell>
          <cell r="G34" t="str">
            <v>Sub-base</v>
          </cell>
          <cell r="P34">
            <v>1</v>
          </cell>
          <cell r="Q34">
            <v>28</v>
          </cell>
          <cell r="R34">
            <v>46632</v>
          </cell>
          <cell r="S34">
            <v>46665</v>
          </cell>
          <cell r="U34">
            <v>0</v>
          </cell>
        </row>
        <row r="35">
          <cell r="B35" t="str">
            <v>Lote 2 – Patrocínio</v>
          </cell>
          <cell r="C35" t="str">
            <v>L2-F2</v>
          </cell>
          <cell r="D35" t="str">
            <v>4.3</v>
          </cell>
          <cell r="E35">
            <v>2</v>
          </cell>
          <cell r="G35" t="str">
            <v>Base</v>
          </cell>
          <cell r="P35">
            <v>1</v>
          </cell>
          <cell r="Q35">
            <v>38</v>
          </cell>
          <cell r="R35">
            <v>46650</v>
          </cell>
          <cell r="S35">
            <v>46695</v>
          </cell>
          <cell r="U35">
            <v>0</v>
          </cell>
        </row>
        <row r="36">
          <cell r="B36" t="str">
            <v>Lote 2 – Patrocínio</v>
          </cell>
          <cell r="C36" t="str">
            <v>L2-F2</v>
          </cell>
          <cell r="D36" t="str">
            <v>4.4</v>
          </cell>
          <cell r="E36">
            <v>2</v>
          </cell>
          <cell r="G36" t="str">
            <v>Revestimento</v>
          </cell>
          <cell r="P36">
            <v>1</v>
          </cell>
          <cell r="Q36">
            <v>36</v>
          </cell>
          <cell r="R36">
            <v>46665</v>
          </cell>
          <cell r="S36">
            <v>46709</v>
          </cell>
          <cell r="U36">
            <v>0</v>
          </cell>
        </row>
        <row r="37">
          <cell r="B37" t="str">
            <v>Lote 2 – Patrocínio</v>
          </cell>
          <cell r="C37" t="str">
            <v>L2-F2</v>
          </cell>
          <cell r="D37" t="str">
            <v>5.1.1</v>
          </cell>
          <cell r="E37">
            <v>3</v>
          </cell>
          <cell r="G37" t="str">
            <v>Bueiro Tubular</v>
          </cell>
          <cell r="P37">
            <v>1</v>
          </cell>
          <cell r="Q37">
            <v>97</v>
          </cell>
          <cell r="R37">
            <v>46538</v>
          </cell>
          <cell r="S37">
            <v>46651</v>
          </cell>
          <cell r="U37">
            <v>0</v>
          </cell>
        </row>
        <row r="38">
          <cell r="B38" t="str">
            <v>Lote 2 – Patrocínio</v>
          </cell>
          <cell r="C38" t="str">
            <v>L2-F2</v>
          </cell>
          <cell r="D38" t="str">
            <v>5.1.2</v>
          </cell>
          <cell r="E38">
            <v>3</v>
          </cell>
          <cell r="G38" t="str">
            <v>Bueiro Celular</v>
          </cell>
          <cell r="P38">
            <v>1</v>
          </cell>
          <cell r="Q38">
            <v>30</v>
          </cell>
          <cell r="R38">
            <v>46542</v>
          </cell>
          <cell r="S38">
            <v>46576</v>
          </cell>
          <cell r="U38">
            <v>0</v>
          </cell>
        </row>
        <row r="39">
          <cell r="B39" t="str">
            <v>Lote 2 – Patrocínio</v>
          </cell>
          <cell r="C39" t="str">
            <v>L2-F2</v>
          </cell>
          <cell r="D39" t="str">
            <v>5.2</v>
          </cell>
          <cell r="E39">
            <v>2</v>
          </cell>
          <cell r="G39" t="str">
            <v>Drenagem Superficial</v>
          </cell>
          <cell r="P39">
            <v>1</v>
          </cell>
          <cell r="Q39">
            <v>148</v>
          </cell>
          <cell r="R39">
            <v>46590</v>
          </cell>
          <cell r="S39">
            <v>46770</v>
          </cell>
          <cell r="U39">
            <v>0</v>
          </cell>
        </row>
        <row r="40">
          <cell r="B40" t="str">
            <v>Lote 2 – Patrocínio</v>
          </cell>
          <cell r="C40" t="str">
            <v>L2-F2</v>
          </cell>
          <cell r="D40" t="str">
            <v>6.1</v>
          </cell>
          <cell r="E40">
            <v>2</v>
          </cell>
          <cell r="G40" t="str">
            <v>Sinalização Vertical</v>
          </cell>
          <cell r="P40">
            <v>1</v>
          </cell>
          <cell r="Q40">
            <v>5</v>
          </cell>
          <cell r="R40">
            <v>46704</v>
          </cell>
          <cell r="S40">
            <v>46710</v>
          </cell>
          <cell r="U40">
            <v>0</v>
          </cell>
        </row>
        <row r="41">
          <cell r="B41" t="str">
            <v>Lote 2 – Patrocínio</v>
          </cell>
          <cell r="C41" t="str">
            <v>L2-F2</v>
          </cell>
          <cell r="D41" t="str">
            <v>6.2</v>
          </cell>
          <cell r="E41">
            <v>2</v>
          </cell>
          <cell r="G41" t="str">
            <v>Sinalização Horizontal</v>
          </cell>
          <cell r="P41">
            <v>1</v>
          </cell>
          <cell r="Q41">
            <v>3</v>
          </cell>
          <cell r="R41">
            <v>46715</v>
          </cell>
          <cell r="S41">
            <v>46717</v>
          </cell>
          <cell r="U41">
            <v>0</v>
          </cell>
        </row>
        <row r="42">
          <cell r="B42" t="str">
            <v>Lote 2 – Patrocínio</v>
          </cell>
          <cell r="C42" t="str">
            <v>L2-F2</v>
          </cell>
          <cell r="D42" t="str">
            <v>6.3</v>
          </cell>
          <cell r="E42">
            <v>2</v>
          </cell>
          <cell r="G42" t="str">
            <v>EPS – Elementos de Proteção e Segurança</v>
          </cell>
          <cell r="P42">
            <v>1</v>
          </cell>
          <cell r="Q42">
            <v>17</v>
          </cell>
          <cell r="R42">
            <v>46699</v>
          </cell>
          <cell r="S42">
            <v>46720</v>
          </cell>
          <cell r="U42">
            <v>0</v>
          </cell>
        </row>
        <row r="43">
          <cell r="B43" t="str">
            <v>Lote 2 – Patrocínio</v>
          </cell>
          <cell r="C43" t="str">
            <v>L2-F2</v>
          </cell>
          <cell r="D43" t="str">
            <v>7</v>
          </cell>
          <cell r="E43">
            <v>1</v>
          </cell>
          <cell r="G43" t="str">
            <v>Obras Complementares</v>
          </cell>
          <cell r="P43">
            <v>1</v>
          </cell>
          <cell r="Q43">
            <v>21</v>
          </cell>
          <cell r="R43">
            <v>46715</v>
          </cell>
          <cell r="S43">
            <v>46738</v>
          </cell>
          <cell r="U43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3CC8F7-9E9F-490E-B62F-DDE461173AA2}" name="ProjectExport" displayName="ProjectExport" ref="A3:J37">
  <tableColumns count="10">
    <tableColumn id="1" xr3:uid="{D6F9321E-0813-4285-BD4C-1BF6D1112C3D}" name="Task Name"/>
    <tableColumn id="2" xr3:uid="{AAF788CC-E164-4219-841E-0E6F1AABC513}" name="WBS"/>
    <tableColumn id="3" xr3:uid="{1CEB7598-B4C1-46F9-BE46-CD7BEEA76262}" name="Outline Level"/>
    <tableColumn id="4" xr3:uid="{E3BC1655-8106-4C4A-88EA-81BC2D8005F6}" name="Start"/>
    <tableColumn id="5" xr3:uid="{5C9774A0-730D-4621-96A5-D3A77E7AF2C6}" name="Finish"/>
    <tableColumn id="6" xr3:uid="{99662C4A-B4C4-4138-8A70-CA1734687AAF}" name="Duration"/>
    <tableColumn id="7" xr3:uid="{09C9F61C-CDAE-47F9-906D-E81EDB9AF911}" name="Resource Names"/>
    <tableColumn id="8" xr3:uid="{FF2FE852-C181-4816-8A5C-56966D99866F}" name="Cost"/>
    <tableColumn id="9" xr3:uid="{60C3E410-BBD4-4AD1-BC7B-1CE1A3ED97AD}" name="Phase"/>
    <tableColumn id="10" xr3:uid="{35085DA7-17DA-455A-BC0C-2C84D57035AF}" name="Lo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1D92C6-DAD1-4DE6-8B47-0FB2B0D2FE70}" name="BaseQtdL2" displayName="BaseQtdL2" ref="A4:F23">
  <tableColumns count="6">
    <tableColumn id="1" xr3:uid="{75BEFF6C-1FEF-44F4-8B04-05831FF3F2E5}" name="CHAVE"/>
    <tableColumn id="2" xr3:uid="{9BE207BE-31CB-4055-894B-B045864B13B3}" name="EAP"/>
    <tableColumn id="3" xr3:uid="{B14A5D02-44CF-40A0-B1B9-C63DF33626B6}" name="DISCIPLINA"/>
    <tableColumn id="4" xr3:uid="{2A640DB4-1A20-4BC1-9F48-D39ECD2D56F9}" name="ATIVIDADE"/>
    <tableColumn id="5" xr3:uid="{A3B1EE49-077B-40DD-87D5-4D7A4D31C3CF}" name="UN"/>
    <tableColumn id="8" xr3:uid="{AD779014-C21A-4B7B-A659-9F6CF596088C}" name="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CD6658-693E-4B51-A004-0F806A092343}" name="BaseEAP" displayName="BaseEAP" ref="A4:F23">
  <tableColumns count="6">
    <tableColumn id="1" xr3:uid="{E28CEF72-0688-475C-B95F-3B0E4B9C6011}" name="EAP"/>
    <tableColumn id="2" xr3:uid="{5BDD3A5B-C6A1-40B1-860C-086AC8AEEE19}" name="NÍVEL"/>
    <tableColumn id="3" xr3:uid="{A9C15DDF-AEDA-4FE9-8E42-6BBA700EF5DB}" name="DISCIPLINA"/>
    <tableColumn id="4" xr3:uid="{711E2D31-0996-4980-A658-A89929CFD576}" name="ATIVIDADE / PACOTE DE TRABALHO"/>
    <tableColumn id="5" xr3:uid="{8EC7D561-0182-45FF-B984-F5CA6F21A0D9}" name="UNIDADE"/>
    <tableColumn id="6" xr3:uid="{2203891F-B730-4ADA-93F4-0AD91FF0C2FC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6116-2B6A-4337-BB1D-6F17132D5F47}">
  <dimension ref="A1:AW137"/>
  <sheetViews>
    <sheetView zoomScale="85" zoomScaleNormal="85" workbookViewId="0">
      <selection activeCell="C38" sqref="C38"/>
    </sheetView>
  </sheetViews>
  <sheetFormatPr defaultRowHeight="13.8"/>
  <cols>
    <col min="1" max="1" width="44" customWidth="1"/>
    <col min="2" max="2" width="15" customWidth="1"/>
    <col min="3" max="3" width="14" customWidth="1"/>
    <col min="4" max="5" width="13" customWidth="1"/>
    <col min="6" max="6" width="12" customWidth="1"/>
    <col min="7" max="7" width="44" customWidth="1"/>
    <col min="8" max="8" width="18" customWidth="1"/>
    <col min="9" max="9" width="12" customWidth="1"/>
    <col min="10" max="10" width="22" customWidth="1"/>
  </cols>
  <sheetData>
    <row r="1" spans="1:49" ht="27.1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spans="1:4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>
      <c r="A4" s="6" t="str">
        <f>[1]CRONO_LOTE_2!G6</f>
        <v>Mobilização, canteiro, acessos e preparação</v>
      </c>
      <c r="B4" s="6" t="str">
        <f>[1]CRONO_LOTE_2!C6&amp;"."&amp;[1]CRONO_LOTE_2!D6</f>
        <v>L2-F1.1</v>
      </c>
      <c r="C4" s="6">
        <f>[1]CRONO_LOTE_2!E6</f>
        <v>1</v>
      </c>
      <c r="D4" s="7">
        <f>[1]CRONO_LOTE_2!R6</f>
        <v>46266</v>
      </c>
      <c r="E4" s="7">
        <f>[1]CRONO_LOTE_2!S6</f>
        <v>46289</v>
      </c>
      <c r="F4" s="8">
        <f>[1]CRONO_LOTE_2!Q6</f>
        <v>20</v>
      </c>
      <c r="G4" s="6" t="str">
        <f>[1]CRONO_LOTE_2!G6&amp;" – "&amp;[1]CRONO_LOTE_2!P6&amp;" equipe(s)"</f>
        <v>Mobilização, canteiro, acessos e preparação – 1 equipe(s)</v>
      </c>
      <c r="H4" s="9">
        <f>[1]CRONO_LOTE_2!U6</f>
        <v>0</v>
      </c>
      <c r="I4" s="6" t="str">
        <f>[1]CRONO_LOTE_2!C6</f>
        <v>L2-F1</v>
      </c>
      <c r="J4" s="6" t="str">
        <f>[1]CRONO_LOTE_2!B6</f>
        <v>Lote 2 – Patrocínio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spans="1:49">
      <c r="A5" s="6" t="str">
        <f>[1]CRONO_LOTE_2!G7</f>
        <v>Limpeza, desmatamento e destocamento</v>
      </c>
      <c r="B5" s="6" t="str">
        <f>[1]CRONO_LOTE_2!C7&amp;"."&amp;[1]CRONO_LOTE_2!D7</f>
        <v>L2-F1.2</v>
      </c>
      <c r="C5" s="6">
        <f>[1]CRONO_LOTE_2!E7</f>
        <v>1</v>
      </c>
      <c r="D5" s="7">
        <f>[1]CRONO_LOTE_2!R7</f>
        <v>46274</v>
      </c>
      <c r="E5" s="7">
        <f>[1]CRONO_LOTE_2!S7</f>
        <v>46365</v>
      </c>
      <c r="F5" s="8">
        <f>[1]CRONO_LOTE_2!Q7</f>
        <v>76</v>
      </c>
      <c r="G5" s="6" t="str">
        <f>[1]CRONO_LOTE_2!G7&amp;" – "&amp;[1]CRONO_LOTE_2!P7&amp;" equipe(s)"</f>
        <v>Limpeza, desmatamento e destocamento – 1 equipe(s)</v>
      </c>
      <c r="H5" s="9">
        <f>[1]CRONO_LOTE_2!U7</f>
        <v>0</v>
      </c>
      <c r="I5" s="6" t="str">
        <f>[1]CRONO_LOTE_2!C7</f>
        <v>L2-F1</v>
      </c>
      <c r="J5" s="6" t="str">
        <f>[1]CRONO_LOTE_2!B7</f>
        <v>Lote 2 – Patrocínio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 spans="1:49">
      <c r="A6" s="6" t="str">
        <f>[1]CRONO_LOTE_2!G8</f>
        <v>Escavação de 1ª Categoria</v>
      </c>
      <c r="B6" s="6" t="str">
        <f>[1]CRONO_LOTE_2!C8&amp;"."&amp;[1]CRONO_LOTE_2!D8</f>
        <v>L2-F1.3.1</v>
      </c>
      <c r="C6" s="6">
        <f>[1]CRONO_LOTE_2!E8</f>
        <v>2</v>
      </c>
      <c r="D6" s="7">
        <f>[1]CRONO_LOTE_2!R8</f>
        <v>46284</v>
      </c>
      <c r="E6" s="7">
        <f>[1]CRONO_LOTE_2!S8</f>
        <v>46525</v>
      </c>
      <c r="F6" s="8">
        <f>[1]CRONO_LOTE_2!Q8</f>
        <v>197</v>
      </c>
      <c r="G6" s="6" t="str">
        <f>[1]CRONO_LOTE_2!G8&amp;" – "&amp;[1]CRONO_LOTE_2!P8&amp;" equipe(s)"</f>
        <v>Escavação de 1ª Categoria – 3 equipe(s)</v>
      </c>
      <c r="H6" s="9">
        <f>[1]CRONO_LOTE_2!U8</f>
        <v>0</v>
      </c>
      <c r="I6" s="6" t="str">
        <f>[1]CRONO_LOTE_2!C8</f>
        <v>L2-F1</v>
      </c>
      <c r="J6" s="6" t="str">
        <f>[1]CRONO_LOTE_2!B8</f>
        <v>Lote 2 – Patrocínio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>
      <c r="A7" s="6" t="str">
        <f>[1]CRONO_LOTE_2!G12</f>
        <v>Aterro Proctor Normal (Corpo de Aterro)</v>
      </c>
      <c r="B7" s="6" t="str">
        <f>[1]CRONO_LOTE_2!C12&amp;"."&amp;[1]CRONO_LOTE_2!D12</f>
        <v>L2-F1.3.5</v>
      </c>
      <c r="C7" s="6">
        <f>[1]CRONO_LOTE_2!E12</f>
        <v>2</v>
      </c>
      <c r="D7" s="7">
        <f>[1]CRONO_LOTE_2!R12</f>
        <v>46321</v>
      </c>
      <c r="E7" s="7">
        <f>[1]CRONO_LOTE_2!S12</f>
        <v>46479</v>
      </c>
      <c r="F7" s="8">
        <f>[1]CRONO_LOTE_2!Q12</f>
        <v>130</v>
      </c>
      <c r="G7" s="6" t="str">
        <f>[1]CRONO_LOTE_2!G12&amp;" – "&amp;[1]CRONO_LOTE_2!P12&amp;" equipe(s)"</f>
        <v>Aterro Proctor Normal (Corpo de Aterro) – 2 equipe(s)</v>
      </c>
      <c r="H7" s="9">
        <f>[1]CRONO_LOTE_2!U12</f>
        <v>0</v>
      </c>
      <c r="I7" s="6" t="str">
        <f>[1]CRONO_LOTE_2!C12</f>
        <v>L2-F1</v>
      </c>
      <c r="J7" s="6" t="str">
        <f>[1]CRONO_LOTE_2!B12</f>
        <v>Lote 2 – Patrocínio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>
      <c r="A8" s="6" t="str">
        <f>[1]CRONO_LOTE_2!G13</f>
        <v>Aterro Proctor Intermediário (CFT)</v>
      </c>
      <c r="B8" s="6" t="str">
        <f>[1]CRONO_LOTE_2!C13&amp;"."&amp;[1]CRONO_LOTE_2!D13</f>
        <v>L2-F1.3.6</v>
      </c>
      <c r="C8" s="6">
        <f>[1]CRONO_LOTE_2!E13</f>
        <v>2</v>
      </c>
      <c r="D8" s="7">
        <f>[1]CRONO_LOTE_2!R13</f>
        <v>46339</v>
      </c>
      <c r="E8" s="7">
        <f>[1]CRONO_LOTE_2!S13</f>
        <v>46441</v>
      </c>
      <c r="F8" s="8">
        <f>[1]CRONO_LOTE_2!Q13</f>
        <v>83</v>
      </c>
      <c r="G8" s="6" t="str">
        <f>[1]CRONO_LOTE_2!G13&amp;" – "&amp;[1]CRONO_LOTE_2!P13&amp;" equipe(s)"</f>
        <v>Aterro Proctor Intermediário (CFT) – 1 equipe(s)</v>
      </c>
      <c r="H8" s="9">
        <f>[1]CRONO_LOTE_2!U13</f>
        <v>0</v>
      </c>
      <c r="I8" s="6" t="str">
        <f>[1]CRONO_LOTE_2!C13</f>
        <v>L2-F1</v>
      </c>
      <c r="J8" s="6" t="str">
        <f>[1]CRONO_LOTE_2!B13</f>
        <v>Lote 2 – Patrocínio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49">
      <c r="A9" s="6" t="str">
        <f>[1]CRONO_LOTE_2!G14</f>
        <v>Subleito</v>
      </c>
      <c r="B9" s="6" t="str">
        <f>[1]CRONO_LOTE_2!C14&amp;"."&amp;[1]CRONO_LOTE_2!D14</f>
        <v>L2-F1.4.1</v>
      </c>
      <c r="C9" s="6">
        <f>[1]CRONO_LOTE_2!E14</f>
        <v>2</v>
      </c>
      <c r="D9" s="7">
        <f>[1]CRONO_LOTE_2!R14</f>
        <v>46413</v>
      </c>
      <c r="E9" s="7">
        <f>[1]CRONO_LOTE_2!S14</f>
        <v>46564</v>
      </c>
      <c r="F9" s="8">
        <f>[1]CRONO_LOTE_2!Q14</f>
        <v>125</v>
      </c>
      <c r="G9" s="6" t="str">
        <f>[1]CRONO_LOTE_2!G14&amp;" – "&amp;[1]CRONO_LOTE_2!P14&amp;" equipe(s)"</f>
        <v>Subleito – 2 equipe(s)</v>
      </c>
      <c r="H9" s="9">
        <f>[1]CRONO_LOTE_2!U14</f>
        <v>0</v>
      </c>
      <c r="I9" s="6" t="str">
        <f>[1]CRONO_LOTE_2!C14</f>
        <v>L2-F1</v>
      </c>
      <c r="J9" s="6" t="str">
        <f>[1]CRONO_LOTE_2!B14</f>
        <v>Lote 2 – Patrocínio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 spans="1:49">
      <c r="A10" s="6" t="str">
        <f>[1]CRONO_LOTE_2!G15</f>
        <v>Sub-base</v>
      </c>
      <c r="B10" s="6" t="str">
        <f>[1]CRONO_LOTE_2!C15&amp;"."&amp;[1]CRONO_LOTE_2!D15</f>
        <v>L2-F1.4.2</v>
      </c>
      <c r="C10" s="6">
        <f>[1]CRONO_LOTE_2!E15</f>
        <v>2</v>
      </c>
      <c r="D10" s="7">
        <f>[1]CRONO_LOTE_2!R15</f>
        <v>46436</v>
      </c>
      <c r="E10" s="7">
        <f>[1]CRONO_LOTE_2!S15</f>
        <v>46510</v>
      </c>
      <c r="F10" s="8">
        <f>[1]CRONO_LOTE_2!Q15</f>
        <v>61</v>
      </c>
      <c r="G10" s="6" t="str">
        <f>[1]CRONO_LOTE_2!G15&amp;" – "&amp;[1]CRONO_LOTE_2!P15&amp;" equipe(s)"</f>
        <v>Sub-base – 1 equipe(s)</v>
      </c>
      <c r="H10" s="9">
        <f>[1]CRONO_LOTE_2!U15</f>
        <v>0</v>
      </c>
      <c r="I10" s="6" t="str">
        <f>[1]CRONO_LOTE_2!C15</f>
        <v>L2-F1</v>
      </c>
      <c r="J10" s="6" t="str">
        <f>[1]CRONO_LOTE_2!B15</f>
        <v>Lote 2 – Patrocínio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49">
      <c r="A11" s="6" t="str">
        <f>[1]CRONO_LOTE_2!G16</f>
        <v>Base</v>
      </c>
      <c r="B11" s="6" t="str">
        <f>[1]CRONO_LOTE_2!C16&amp;"."&amp;[1]CRONO_LOTE_2!D16</f>
        <v>L2-F1.4.3</v>
      </c>
      <c r="C11" s="6">
        <f>[1]CRONO_LOTE_2!E16</f>
        <v>2</v>
      </c>
      <c r="D11" s="7">
        <f>[1]CRONO_LOTE_2!R16</f>
        <v>46457</v>
      </c>
      <c r="E11" s="7">
        <f>[1]CRONO_LOTE_2!S16</f>
        <v>46581</v>
      </c>
      <c r="F11" s="8">
        <f>[1]CRONO_LOTE_2!Q16</f>
        <v>103</v>
      </c>
      <c r="G11" s="6" t="str">
        <f>[1]CRONO_LOTE_2!G16&amp;" – "&amp;[1]CRONO_LOTE_2!P16&amp;" equipe(s)"</f>
        <v>Base – 1 equipe(s)</v>
      </c>
      <c r="H11" s="9">
        <f>[1]CRONO_LOTE_2!U16</f>
        <v>0</v>
      </c>
      <c r="I11" s="6" t="str">
        <f>[1]CRONO_LOTE_2!C16</f>
        <v>L2-F1</v>
      </c>
      <c r="J11" s="6" t="str">
        <f>[1]CRONO_LOTE_2!B16</f>
        <v>Lote 2 – Patrocínio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 spans="1:49">
      <c r="A12" s="6" t="str">
        <f>[1]CRONO_LOTE_2!G17</f>
        <v>Revestimento</v>
      </c>
      <c r="B12" s="6" t="str">
        <f>[1]CRONO_LOTE_2!C17&amp;"."&amp;[1]CRONO_LOTE_2!D17</f>
        <v>L2-F1.4.4</v>
      </c>
      <c r="C12" s="6">
        <f>[1]CRONO_LOTE_2!E17</f>
        <v>2</v>
      </c>
      <c r="D12" s="7">
        <f>[1]CRONO_LOTE_2!R17</f>
        <v>46479</v>
      </c>
      <c r="E12" s="7">
        <f>[1]CRONO_LOTE_2!S17</f>
        <v>46604</v>
      </c>
      <c r="F12" s="8">
        <f>[1]CRONO_LOTE_2!Q17</f>
        <v>105</v>
      </c>
      <c r="G12" s="6" t="str">
        <f>[1]CRONO_LOTE_2!G17&amp;" – "&amp;[1]CRONO_LOTE_2!P17&amp;" equipe(s)"</f>
        <v>Revestimento – 1 equipe(s)</v>
      </c>
      <c r="H12" s="9">
        <f>[1]CRONO_LOTE_2!U17</f>
        <v>0</v>
      </c>
      <c r="I12" s="6" t="str">
        <f>[1]CRONO_LOTE_2!C17</f>
        <v>L2-F1</v>
      </c>
      <c r="J12" s="6" t="str">
        <f>[1]CRONO_LOTE_2!B17</f>
        <v>Lote 2 – Patrocínio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 spans="1:49">
      <c r="A13" s="6" t="str">
        <f>[1]CRONO_LOTE_2!G18</f>
        <v>Bueiro Tubular</v>
      </c>
      <c r="B13" s="6" t="str">
        <f>[1]CRONO_LOTE_2!C18&amp;"."&amp;[1]CRONO_LOTE_2!D18</f>
        <v>L2-F1.5.1.1</v>
      </c>
      <c r="C13" s="6">
        <f>[1]CRONO_LOTE_2!E18</f>
        <v>3</v>
      </c>
      <c r="D13" s="7">
        <f>[1]CRONO_LOTE_2!R18</f>
        <v>46302</v>
      </c>
      <c r="E13" s="7">
        <f>[1]CRONO_LOTE_2!S18</f>
        <v>46440</v>
      </c>
      <c r="F13" s="8">
        <f>[1]CRONO_LOTE_2!Q18</f>
        <v>112</v>
      </c>
      <c r="G13" s="6" t="str">
        <f>[1]CRONO_LOTE_2!G18&amp;" – "&amp;[1]CRONO_LOTE_2!P18&amp;" equipe(s)"</f>
        <v>Bueiro Tubular – 1 equipe(s)</v>
      </c>
      <c r="H13" s="9">
        <f>[1]CRONO_LOTE_2!U18</f>
        <v>0</v>
      </c>
      <c r="I13" s="6" t="str">
        <f>[1]CRONO_LOTE_2!C18</f>
        <v>L2-F1</v>
      </c>
      <c r="J13" s="6" t="str">
        <f>[1]CRONO_LOTE_2!B18</f>
        <v>Lote 2 – Patrocínio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49">
      <c r="A14" s="6" t="str">
        <f>[1]CRONO_LOTE_2!G19</f>
        <v>Bueiro Celular</v>
      </c>
      <c r="B14" s="6" t="str">
        <f>[1]CRONO_LOTE_2!C19&amp;"."&amp;[1]CRONO_LOTE_2!D19</f>
        <v>L2-F1.5.1.2</v>
      </c>
      <c r="C14" s="6">
        <f>[1]CRONO_LOTE_2!E19</f>
        <v>3</v>
      </c>
      <c r="D14" s="7">
        <f>[1]CRONO_LOTE_2!R19</f>
        <v>46310</v>
      </c>
      <c r="E14" s="7">
        <f>[1]CRONO_LOTE_2!S19</f>
        <v>46360</v>
      </c>
      <c r="F14" s="8">
        <f>[1]CRONO_LOTE_2!Q19</f>
        <v>42</v>
      </c>
      <c r="G14" s="6" t="str">
        <f>[1]CRONO_LOTE_2!G19&amp;" – "&amp;[1]CRONO_LOTE_2!P19&amp;" equipe(s)"</f>
        <v>Bueiro Celular – 1 equipe(s)</v>
      </c>
      <c r="H14" s="9">
        <f>[1]CRONO_LOTE_2!U19</f>
        <v>0</v>
      </c>
      <c r="I14" s="6" t="str">
        <f>[1]CRONO_LOTE_2!C19</f>
        <v>L2-F1</v>
      </c>
      <c r="J14" s="6" t="str">
        <f>[1]CRONO_LOTE_2!B19</f>
        <v>Lote 2 – Patrocínio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>
      <c r="A15" s="6" t="str">
        <f>[1]CRONO_LOTE_2!G20</f>
        <v>Drenagem Superficial</v>
      </c>
      <c r="B15" s="6" t="str">
        <f>[1]CRONO_LOTE_2!C20&amp;"."&amp;[1]CRONO_LOTE_2!D20</f>
        <v>L2-F1.5.2</v>
      </c>
      <c r="C15" s="6">
        <f>[1]CRONO_LOTE_2!E20</f>
        <v>2</v>
      </c>
      <c r="D15" s="7">
        <f>[1]CRONO_LOTE_2!R20</f>
        <v>46375</v>
      </c>
      <c r="E15" s="7">
        <f>[1]CRONO_LOTE_2!S20</f>
        <v>46585</v>
      </c>
      <c r="F15" s="8">
        <f>[1]CRONO_LOTE_2!Q20</f>
        <v>173</v>
      </c>
      <c r="G15" s="6" t="str">
        <f>[1]CRONO_LOTE_2!G20&amp;" – "&amp;[1]CRONO_LOTE_2!P20&amp;" equipe(s)"</f>
        <v>Drenagem Superficial – 2 equipe(s)</v>
      </c>
      <c r="H15" s="9">
        <f>[1]CRONO_LOTE_2!U20</f>
        <v>0</v>
      </c>
      <c r="I15" s="6" t="str">
        <f>[1]CRONO_LOTE_2!C20</f>
        <v>L2-F1</v>
      </c>
      <c r="J15" s="6" t="str">
        <f>[1]CRONO_LOTE_2!B20</f>
        <v>Lote 2 – Patrocínio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>
      <c r="A16" s="6" t="str">
        <f>[1]CRONO_LOTE_2!G21</f>
        <v>Sinalização Vertical</v>
      </c>
      <c r="B16" s="6" t="str">
        <f>[1]CRONO_LOTE_2!C21&amp;"."&amp;[1]CRONO_LOTE_2!D21</f>
        <v>L2-F1.6.1</v>
      </c>
      <c r="C16" s="6">
        <f>[1]CRONO_LOTE_2!E21</f>
        <v>2</v>
      </c>
      <c r="D16" s="7">
        <f>[1]CRONO_LOTE_2!R21</f>
        <v>46531</v>
      </c>
      <c r="E16" s="7">
        <f>[1]CRONO_LOTE_2!S21</f>
        <v>46543</v>
      </c>
      <c r="F16" s="8">
        <f>[1]CRONO_LOTE_2!Q21</f>
        <v>11</v>
      </c>
      <c r="G16" s="6" t="str">
        <f>[1]CRONO_LOTE_2!G21&amp;" – "&amp;[1]CRONO_LOTE_2!P21&amp;" equipe(s)"</f>
        <v>Sinalização Vertical – 1 equipe(s)</v>
      </c>
      <c r="H16" s="9">
        <f>[1]CRONO_LOTE_2!U21</f>
        <v>0</v>
      </c>
      <c r="I16" s="6" t="str">
        <f>[1]CRONO_LOTE_2!C21</f>
        <v>L2-F1</v>
      </c>
      <c r="J16" s="6" t="str">
        <f>[1]CRONO_LOTE_2!B21</f>
        <v>Lote 2 – Patrocínio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>
      <c r="A17" s="6" t="str">
        <f>[1]CRONO_LOTE_2!G22</f>
        <v>Sinalização Horizontal</v>
      </c>
      <c r="B17" s="6" t="str">
        <f>[1]CRONO_LOTE_2!C22&amp;"."&amp;[1]CRONO_LOTE_2!D22</f>
        <v>L2-F1.6.2</v>
      </c>
      <c r="C17" s="6">
        <f>[1]CRONO_LOTE_2!E22</f>
        <v>2</v>
      </c>
      <c r="D17" s="7">
        <f>[1]CRONO_LOTE_2!R22</f>
        <v>46542</v>
      </c>
      <c r="E17" s="7">
        <f>[1]CRONO_LOTE_2!S22</f>
        <v>46547</v>
      </c>
      <c r="F17" s="8">
        <f>[1]CRONO_LOTE_2!Q22</f>
        <v>5</v>
      </c>
      <c r="G17" s="6" t="str">
        <f>[1]CRONO_LOTE_2!G22&amp;" – "&amp;[1]CRONO_LOTE_2!P22&amp;" equipe(s)"</f>
        <v>Sinalização Horizontal – 1 equipe(s)</v>
      </c>
      <c r="H17" s="9">
        <f>[1]CRONO_LOTE_2!U22</f>
        <v>0</v>
      </c>
      <c r="I17" s="6" t="str">
        <f>[1]CRONO_LOTE_2!C22</f>
        <v>L2-F1</v>
      </c>
      <c r="J17" s="6" t="str">
        <f>[1]CRONO_LOTE_2!B22</f>
        <v>Lote 2 – Patrocínio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49">
      <c r="A18" s="6" t="str">
        <f>[1]CRONO_LOTE_2!G23</f>
        <v>EPS – Elementos de Proteção e Segurança</v>
      </c>
      <c r="B18" s="6" t="str">
        <f>[1]CRONO_LOTE_2!C23&amp;"."&amp;[1]CRONO_LOTE_2!D23</f>
        <v>L2-F1.6.3</v>
      </c>
      <c r="C18" s="6">
        <f>[1]CRONO_LOTE_2!E23</f>
        <v>2</v>
      </c>
      <c r="D18" s="7">
        <f>[1]CRONO_LOTE_2!R23</f>
        <v>46524</v>
      </c>
      <c r="E18" s="7">
        <f>[1]CRONO_LOTE_2!S23</f>
        <v>46564</v>
      </c>
      <c r="F18" s="8">
        <f>[1]CRONO_LOTE_2!Q23</f>
        <v>35</v>
      </c>
      <c r="G18" s="6" t="str">
        <f>[1]CRONO_LOTE_2!G23&amp;" – "&amp;[1]CRONO_LOTE_2!P23&amp;" equipe(s)"</f>
        <v>EPS – Elementos de Proteção e Segurança – 1 equipe(s)</v>
      </c>
      <c r="H18" s="9">
        <f>[1]CRONO_LOTE_2!U23</f>
        <v>0</v>
      </c>
      <c r="I18" s="6" t="str">
        <f>[1]CRONO_LOTE_2!C23</f>
        <v>L2-F1</v>
      </c>
      <c r="J18" s="6" t="str">
        <f>[1]CRONO_LOTE_2!B23</f>
        <v>Lote 2 – Patrocínio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>
      <c r="A19" s="6" t="str">
        <f>[1]CRONO_LOTE_2!G24</f>
        <v>Obras Complementares</v>
      </c>
      <c r="B19" s="6" t="str">
        <f>[1]CRONO_LOTE_2!C24&amp;"."&amp;[1]CRONO_LOTE_2!D24</f>
        <v>L2-F1.7</v>
      </c>
      <c r="C19" s="6">
        <f>[1]CRONO_LOTE_2!E24</f>
        <v>1</v>
      </c>
      <c r="D19" s="7">
        <f>[1]CRONO_LOTE_2!R24</f>
        <v>46542</v>
      </c>
      <c r="E19" s="7">
        <f>[1]CRONO_LOTE_2!S24</f>
        <v>46594</v>
      </c>
      <c r="F19" s="8">
        <f>[1]CRONO_LOTE_2!Q24</f>
        <v>45</v>
      </c>
      <c r="G19" s="6" t="str">
        <f>[1]CRONO_LOTE_2!G24&amp;" – "&amp;[1]CRONO_LOTE_2!P24&amp;" equipe(s)"</f>
        <v>Obras Complementares – 2 equipe(s)</v>
      </c>
      <c r="H19" s="9">
        <f>[1]CRONO_LOTE_2!U24</f>
        <v>0</v>
      </c>
      <c r="I19" s="6" t="str">
        <f>[1]CRONO_LOTE_2!C24</f>
        <v>L2-F1</v>
      </c>
      <c r="J19" s="6" t="str">
        <f>[1]CRONO_LOTE_2!B24</f>
        <v>Lote 2 – Patrocínio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>
      <c r="A20" s="6" t="str">
        <f>[1]CRONO_LOTE_2!G25</f>
        <v>Mobilização, canteiro, acessos e preparação</v>
      </c>
      <c r="B20" s="6" t="str">
        <f>[1]CRONO_LOTE_2!C25&amp;"."&amp;[1]CRONO_LOTE_2!D25</f>
        <v>L2-F2.1</v>
      </c>
      <c r="C20" s="6">
        <f>[1]CRONO_LOTE_2!E25</f>
        <v>1</v>
      </c>
      <c r="D20" s="7">
        <f>[1]CRONO_LOTE_2!R25</f>
        <v>46510</v>
      </c>
      <c r="E20" s="7">
        <f>[1]CRONO_LOTE_2!S25</f>
        <v>46532</v>
      </c>
      <c r="F20" s="8">
        <f>[1]CRONO_LOTE_2!Q25</f>
        <v>20</v>
      </c>
      <c r="G20" s="6" t="str">
        <f>[1]CRONO_LOTE_2!G25&amp;" – "&amp;[1]CRONO_LOTE_2!P25&amp;" equipe(s)"</f>
        <v>Mobilização, canteiro, acessos e preparação – 1 equipe(s)</v>
      </c>
      <c r="H20" s="9">
        <f>[1]CRONO_LOTE_2!U25</f>
        <v>0</v>
      </c>
      <c r="I20" s="6" t="str">
        <f>[1]CRONO_LOTE_2!C25</f>
        <v>L2-F2</v>
      </c>
      <c r="J20" s="6" t="str">
        <f>[1]CRONO_LOTE_2!B25</f>
        <v>Lote 2 – Patrocínio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49">
      <c r="A21" s="6" t="str">
        <f>[1]CRONO_LOTE_2!G26</f>
        <v>Limpeza, desmatamento e destocamento</v>
      </c>
      <c r="B21" s="6" t="str">
        <f>[1]CRONO_LOTE_2!C26&amp;"."&amp;[1]CRONO_LOTE_2!D26</f>
        <v>L2-F2.2</v>
      </c>
      <c r="C21" s="6">
        <f>[1]CRONO_LOTE_2!E26</f>
        <v>1</v>
      </c>
      <c r="D21" s="7">
        <f>[1]CRONO_LOTE_2!R26</f>
        <v>46515</v>
      </c>
      <c r="E21" s="7">
        <f>[1]CRONO_LOTE_2!S26</f>
        <v>46541</v>
      </c>
      <c r="F21" s="8">
        <f>[1]CRONO_LOTE_2!Q26</f>
        <v>22</v>
      </c>
      <c r="G21" s="6" t="str">
        <f>[1]CRONO_LOTE_2!G26&amp;" – "&amp;[1]CRONO_LOTE_2!P26&amp;" equipe(s)"</f>
        <v>Limpeza, desmatamento e destocamento – 1 equipe(s)</v>
      </c>
      <c r="H21" s="9">
        <f>[1]CRONO_LOTE_2!U26</f>
        <v>0</v>
      </c>
      <c r="I21" s="6" t="str">
        <f>[1]CRONO_LOTE_2!C26</f>
        <v>L2-F2</v>
      </c>
      <c r="J21" s="6" t="str">
        <f>[1]CRONO_LOTE_2!B26</f>
        <v>Lote 2 – Patrocínio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>
      <c r="A22" s="6" t="str">
        <f>[1]CRONO_LOTE_2!G27</f>
        <v>Escavação de 1ª Categoria</v>
      </c>
      <c r="B22" s="6" t="str">
        <f>[1]CRONO_LOTE_2!C27&amp;"."&amp;[1]CRONO_LOTE_2!D27</f>
        <v>L2-F2.3.1</v>
      </c>
      <c r="C22" s="6">
        <f>[1]CRONO_LOTE_2!E27</f>
        <v>2</v>
      </c>
      <c r="D22" s="7">
        <f>[1]CRONO_LOTE_2!R27</f>
        <v>46522</v>
      </c>
      <c r="E22" s="7">
        <f>[1]CRONO_LOTE_2!S27</f>
        <v>46724</v>
      </c>
      <c r="F22" s="8">
        <f>[1]CRONO_LOTE_2!Q27</f>
        <v>168</v>
      </c>
      <c r="G22" s="6" t="str">
        <f>[1]CRONO_LOTE_2!G27&amp;" – "&amp;[1]CRONO_LOTE_2!P27&amp;" equipe(s)"</f>
        <v>Escavação de 1ª Categoria – 1 equipe(s)</v>
      </c>
      <c r="H22" s="9">
        <f>[1]CRONO_LOTE_2!U27</f>
        <v>0</v>
      </c>
      <c r="I22" s="6" t="str">
        <f>[1]CRONO_LOTE_2!C27</f>
        <v>L2-F2</v>
      </c>
      <c r="J22" s="6" t="str">
        <f>[1]CRONO_LOTE_2!B27</f>
        <v>Lote 2 – Patrocínio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49">
      <c r="A23" s="6" t="str">
        <f>[1]CRONO_LOTE_2!G28</f>
        <v>Escavação de 2ª Categoria</v>
      </c>
      <c r="B23" s="6" t="str">
        <f>[1]CRONO_LOTE_2!C28&amp;"."&amp;[1]CRONO_LOTE_2!D28</f>
        <v>L2-F2.3.2</v>
      </c>
      <c r="C23" s="6">
        <f>[1]CRONO_LOTE_2!E28</f>
        <v>2</v>
      </c>
      <c r="D23" s="7">
        <f>[1]CRONO_LOTE_2!R28</f>
        <v>46526</v>
      </c>
      <c r="E23" s="7">
        <f>[1]CRONO_LOTE_2!S28</f>
        <v>46529</v>
      </c>
      <c r="F23" s="8">
        <f>[1]CRONO_LOTE_2!Q28</f>
        <v>4</v>
      </c>
      <c r="G23" s="6" t="str">
        <f>[1]CRONO_LOTE_2!G28&amp;" – "&amp;[1]CRONO_LOTE_2!P28&amp;" equipe(s)"</f>
        <v>Escavação de 2ª Categoria – 1 equipe(s)</v>
      </c>
      <c r="H23" s="9">
        <f>[1]CRONO_LOTE_2!U28</f>
        <v>0</v>
      </c>
      <c r="I23" s="6" t="str">
        <f>[1]CRONO_LOTE_2!C28</f>
        <v>L2-F2</v>
      </c>
      <c r="J23" s="6" t="str">
        <f>[1]CRONO_LOTE_2!B28</f>
        <v>Lote 2 – Patrocínio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49">
      <c r="A24" s="6" t="str">
        <f>[1]CRONO_LOTE_2!G30</f>
        <v>Escavação de Solo Mole</v>
      </c>
      <c r="B24" s="6" t="str">
        <f>[1]CRONO_LOTE_2!C30&amp;"."&amp;[1]CRONO_LOTE_2!D30</f>
        <v>L2-F2.3.4</v>
      </c>
      <c r="C24" s="6">
        <f>[1]CRONO_LOTE_2!E30</f>
        <v>2</v>
      </c>
      <c r="D24" s="7">
        <f>[1]CRONO_LOTE_2!R30</f>
        <v>46528</v>
      </c>
      <c r="E24" s="7">
        <f>[1]CRONO_LOTE_2!S30</f>
        <v>46545</v>
      </c>
      <c r="F24" s="8">
        <f>[1]CRONO_LOTE_2!Q30</f>
        <v>14</v>
      </c>
      <c r="G24" s="6" t="str">
        <f>[1]CRONO_LOTE_2!G30&amp;" – "&amp;[1]CRONO_LOTE_2!P30&amp;" equipe(s)"</f>
        <v>Escavação de Solo Mole – 1 equipe(s)</v>
      </c>
      <c r="H24" s="9">
        <f>[1]CRONO_LOTE_2!U30</f>
        <v>0</v>
      </c>
      <c r="I24" s="6" t="str">
        <f>[1]CRONO_LOTE_2!C30</f>
        <v>L2-F2</v>
      </c>
      <c r="J24" s="6" t="str">
        <f>[1]CRONO_LOTE_2!B30</f>
        <v>Lote 2 – Patrocínio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1:49">
      <c r="A25" s="6" t="str">
        <f>[1]CRONO_LOTE_2!G31</f>
        <v>Aterro Proctor Normal (Corpo de Aterro)</v>
      </c>
      <c r="B25" s="6" t="str">
        <f>[1]CRONO_LOTE_2!C31&amp;"."&amp;[1]CRONO_LOTE_2!D31</f>
        <v>L2-F2.3.5</v>
      </c>
      <c r="C25" s="6">
        <f>[1]CRONO_LOTE_2!E31</f>
        <v>2</v>
      </c>
      <c r="D25" s="7">
        <f>[1]CRONO_LOTE_2!R31</f>
        <v>46550</v>
      </c>
      <c r="E25" s="7">
        <f>[1]CRONO_LOTE_2!S31</f>
        <v>46626</v>
      </c>
      <c r="F25" s="8">
        <f>[1]CRONO_LOTE_2!Q31</f>
        <v>66</v>
      </c>
      <c r="G25" s="6" t="str">
        <f>[1]CRONO_LOTE_2!G31&amp;" – "&amp;[1]CRONO_LOTE_2!P31&amp;" equipe(s)"</f>
        <v>Aterro Proctor Normal (Corpo de Aterro) – 1 equipe(s)</v>
      </c>
      <c r="H25" s="9">
        <f>[1]CRONO_LOTE_2!U31</f>
        <v>0</v>
      </c>
      <c r="I25" s="6" t="str">
        <f>[1]CRONO_LOTE_2!C31</f>
        <v>L2-F2</v>
      </c>
      <c r="J25" s="6" t="str">
        <f>[1]CRONO_LOTE_2!B31</f>
        <v>Lote 2 – Patrocínio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1:49">
      <c r="A26" s="6" t="str">
        <f>[1]CRONO_LOTE_2!G32</f>
        <v>Aterro Proctor Intermediário (CFT)</v>
      </c>
      <c r="B26" s="6" t="str">
        <f>[1]CRONO_LOTE_2!C32&amp;"."&amp;[1]CRONO_LOTE_2!D32</f>
        <v>L2-F2.3.6</v>
      </c>
      <c r="C26" s="6">
        <f>[1]CRONO_LOTE_2!E32</f>
        <v>2</v>
      </c>
      <c r="D26" s="7">
        <f>[1]CRONO_LOTE_2!R32</f>
        <v>46563</v>
      </c>
      <c r="E26" s="7">
        <f>[1]CRONO_LOTE_2!S32</f>
        <v>46617</v>
      </c>
      <c r="F26" s="8">
        <f>[1]CRONO_LOTE_2!Q32</f>
        <v>47</v>
      </c>
      <c r="G26" s="6" t="str">
        <f>[1]CRONO_LOTE_2!G32&amp;" – "&amp;[1]CRONO_LOTE_2!P32&amp;" equipe(s)"</f>
        <v>Aterro Proctor Intermediário (CFT) – 1 equipe(s)</v>
      </c>
      <c r="H26" s="9">
        <f>[1]CRONO_LOTE_2!U32</f>
        <v>0</v>
      </c>
      <c r="I26" s="6" t="str">
        <f>[1]CRONO_LOTE_2!C32</f>
        <v>L2-F2</v>
      </c>
      <c r="J26" s="6" t="str">
        <f>[1]CRONO_LOTE_2!B32</f>
        <v>Lote 2 – Patrocínio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1:49">
      <c r="A27" s="6" t="str">
        <f>[1]CRONO_LOTE_2!G33</f>
        <v>Subleito</v>
      </c>
      <c r="B27" s="6" t="str">
        <f>[1]CRONO_LOTE_2!C33&amp;"."&amp;[1]CRONO_LOTE_2!D33</f>
        <v>L2-F2.4.1</v>
      </c>
      <c r="C27" s="6">
        <f>[1]CRONO_LOTE_2!E33</f>
        <v>2</v>
      </c>
      <c r="D27" s="7">
        <f>[1]CRONO_LOTE_2!R33</f>
        <v>46616</v>
      </c>
      <c r="E27" s="7">
        <f>[1]CRONO_LOTE_2!S33</f>
        <v>46734</v>
      </c>
      <c r="F27" s="8">
        <f>[1]CRONO_LOTE_2!Q33</f>
        <v>97</v>
      </c>
      <c r="G27" s="6" t="str">
        <f>[1]CRONO_LOTE_2!G33&amp;" – "&amp;[1]CRONO_LOTE_2!P33&amp;" equipe(s)"</f>
        <v>Subleito – 1 equipe(s)</v>
      </c>
      <c r="H27" s="9">
        <f>[1]CRONO_LOTE_2!U33</f>
        <v>0</v>
      </c>
      <c r="I27" s="6" t="str">
        <f>[1]CRONO_LOTE_2!C33</f>
        <v>L2-F2</v>
      </c>
      <c r="J27" s="6" t="str">
        <f>[1]CRONO_LOTE_2!B33</f>
        <v>Lote 2 – Patrocínio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1:49">
      <c r="A28" s="6" t="str">
        <f>[1]CRONO_LOTE_2!G34</f>
        <v>Sub-base</v>
      </c>
      <c r="B28" s="6" t="str">
        <f>[1]CRONO_LOTE_2!C34&amp;"."&amp;[1]CRONO_LOTE_2!D34</f>
        <v>L2-F2.4.2</v>
      </c>
      <c r="C28" s="6">
        <f>[1]CRONO_LOTE_2!E34</f>
        <v>2</v>
      </c>
      <c r="D28" s="7">
        <f>[1]CRONO_LOTE_2!R34</f>
        <v>46632</v>
      </c>
      <c r="E28" s="7">
        <f>[1]CRONO_LOTE_2!S34</f>
        <v>46665</v>
      </c>
      <c r="F28" s="8">
        <f>[1]CRONO_LOTE_2!Q34</f>
        <v>28</v>
      </c>
      <c r="G28" s="6" t="str">
        <f>[1]CRONO_LOTE_2!G34&amp;" – "&amp;[1]CRONO_LOTE_2!P34&amp;" equipe(s)"</f>
        <v>Sub-base – 1 equipe(s)</v>
      </c>
      <c r="H28" s="9">
        <f>[1]CRONO_LOTE_2!U34</f>
        <v>0</v>
      </c>
      <c r="I28" s="6" t="str">
        <f>[1]CRONO_LOTE_2!C34</f>
        <v>L2-F2</v>
      </c>
      <c r="J28" s="6" t="str">
        <f>[1]CRONO_LOTE_2!B34</f>
        <v>Lote 2 – Patrocínio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1:49">
      <c r="A29" s="6" t="str">
        <f>[1]CRONO_LOTE_2!G35</f>
        <v>Base</v>
      </c>
      <c r="B29" s="6" t="str">
        <f>[1]CRONO_LOTE_2!C35&amp;"."&amp;[1]CRONO_LOTE_2!D35</f>
        <v>L2-F2.4.3</v>
      </c>
      <c r="C29" s="6">
        <f>[1]CRONO_LOTE_2!E35</f>
        <v>2</v>
      </c>
      <c r="D29" s="7">
        <f>[1]CRONO_LOTE_2!R35</f>
        <v>46650</v>
      </c>
      <c r="E29" s="7">
        <f>[1]CRONO_LOTE_2!S35</f>
        <v>46695</v>
      </c>
      <c r="F29" s="8">
        <f>[1]CRONO_LOTE_2!Q35</f>
        <v>38</v>
      </c>
      <c r="G29" s="6" t="str">
        <f>[1]CRONO_LOTE_2!G35&amp;" – "&amp;[1]CRONO_LOTE_2!P35&amp;" equipe(s)"</f>
        <v>Base – 1 equipe(s)</v>
      </c>
      <c r="H29" s="9">
        <f>[1]CRONO_LOTE_2!U35</f>
        <v>0</v>
      </c>
      <c r="I29" s="6" t="str">
        <f>[1]CRONO_LOTE_2!C35</f>
        <v>L2-F2</v>
      </c>
      <c r="J29" s="6" t="str">
        <f>[1]CRONO_LOTE_2!B35</f>
        <v>Lote 2 – Patrocínio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1:49">
      <c r="A30" s="6" t="str">
        <f>[1]CRONO_LOTE_2!G36</f>
        <v>Revestimento</v>
      </c>
      <c r="B30" s="6" t="str">
        <f>[1]CRONO_LOTE_2!C36&amp;"."&amp;[1]CRONO_LOTE_2!D36</f>
        <v>L2-F2.4.4</v>
      </c>
      <c r="C30" s="6">
        <f>[1]CRONO_LOTE_2!E36</f>
        <v>2</v>
      </c>
      <c r="D30" s="7">
        <f>[1]CRONO_LOTE_2!R36</f>
        <v>46665</v>
      </c>
      <c r="E30" s="7">
        <f>[1]CRONO_LOTE_2!S36</f>
        <v>46709</v>
      </c>
      <c r="F30" s="8">
        <f>[1]CRONO_LOTE_2!Q36</f>
        <v>36</v>
      </c>
      <c r="G30" s="6" t="str">
        <f>[1]CRONO_LOTE_2!G36&amp;" – "&amp;[1]CRONO_LOTE_2!P36&amp;" equipe(s)"</f>
        <v>Revestimento – 1 equipe(s)</v>
      </c>
      <c r="H30" s="9">
        <f>[1]CRONO_LOTE_2!U36</f>
        <v>0</v>
      </c>
      <c r="I30" s="6" t="str">
        <f>[1]CRONO_LOTE_2!C36</f>
        <v>L2-F2</v>
      </c>
      <c r="J30" s="6" t="str">
        <f>[1]CRONO_LOTE_2!B36</f>
        <v>Lote 2 – Patrocínio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1:49">
      <c r="A31" s="6" t="str">
        <f>[1]CRONO_LOTE_2!G37</f>
        <v>Bueiro Tubular</v>
      </c>
      <c r="B31" s="6" t="str">
        <f>[1]CRONO_LOTE_2!C37&amp;"."&amp;[1]CRONO_LOTE_2!D37</f>
        <v>L2-F2.5.1.1</v>
      </c>
      <c r="C31" s="6">
        <f>[1]CRONO_LOTE_2!E37</f>
        <v>3</v>
      </c>
      <c r="D31" s="7">
        <f>[1]CRONO_LOTE_2!R37</f>
        <v>46538</v>
      </c>
      <c r="E31" s="7">
        <f>[1]CRONO_LOTE_2!S37</f>
        <v>46651</v>
      </c>
      <c r="F31" s="8">
        <f>[1]CRONO_LOTE_2!Q37</f>
        <v>97</v>
      </c>
      <c r="G31" s="6" t="str">
        <f>[1]CRONO_LOTE_2!G37&amp;" – "&amp;[1]CRONO_LOTE_2!P37&amp;" equipe(s)"</f>
        <v>Bueiro Tubular – 1 equipe(s)</v>
      </c>
      <c r="H31" s="9">
        <f>[1]CRONO_LOTE_2!U37</f>
        <v>0</v>
      </c>
      <c r="I31" s="6" t="str">
        <f>[1]CRONO_LOTE_2!C37</f>
        <v>L2-F2</v>
      </c>
      <c r="J31" s="6" t="str">
        <f>[1]CRONO_LOTE_2!B37</f>
        <v>Lote 2 – Patrocínio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1:49">
      <c r="A32" s="6" t="str">
        <f>[1]CRONO_LOTE_2!G38</f>
        <v>Bueiro Celular</v>
      </c>
      <c r="B32" s="6" t="str">
        <f>[1]CRONO_LOTE_2!C38&amp;"."&amp;[1]CRONO_LOTE_2!D38</f>
        <v>L2-F2.5.1.2</v>
      </c>
      <c r="C32" s="6">
        <f>[1]CRONO_LOTE_2!E38</f>
        <v>3</v>
      </c>
      <c r="D32" s="7">
        <f>[1]CRONO_LOTE_2!R38</f>
        <v>46542</v>
      </c>
      <c r="E32" s="7">
        <f>[1]CRONO_LOTE_2!S38</f>
        <v>46576</v>
      </c>
      <c r="F32" s="8">
        <f>[1]CRONO_LOTE_2!Q38</f>
        <v>30</v>
      </c>
      <c r="G32" s="6" t="str">
        <f>[1]CRONO_LOTE_2!G38&amp;" – "&amp;[1]CRONO_LOTE_2!P38&amp;" equipe(s)"</f>
        <v>Bueiro Celular – 1 equipe(s)</v>
      </c>
      <c r="H32" s="9">
        <f>[1]CRONO_LOTE_2!U38</f>
        <v>0</v>
      </c>
      <c r="I32" s="6" t="str">
        <f>[1]CRONO_LOTE_2!C38</f>
        <v>L2-F2</v>
      </c>
      <c r="J32" s="6" t="str">
        <f>[1]CRONO_LOTE_2!B38</f>
        <v>Lote 2 – Patrocínio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1:49">
      <c r="A33" s="6" t="str">
        <f>[1]CRONO_LOTE_2!G39</f>
        <v>Drenagem Superficial</v>
      </c>
      <c r="B33" s="6" t="str">
        <f>[1]CRONO_LOTE_2!C39&amp;"."&amp;[1]CRONO_LOTE_2!D39</f>
        <v>L2-F2.5.2</v>
      </c>
      <c r="C33" s="6">
        <f>[1]CRONO_LOTE_2!E39</f>
        <v>2</v>
      </c>
      <c r="D33" s="7">
        <f>[1]CRONO_LOTE_2!R39</f>
        <v>46590</v>
      </c>
      <c r="E33" s="7">
        <f>[1]CRONO_LOTE_2!S39</f>
        <v>46770</v>
      </c>
      <c r="F33" s="8">
        <f>[1]CRONO_LOTE_2!Q39</f>
        <v>148</v>
      </c>
      <c r="G33" s="6" t="str">
        <f>[1]CRONO_LOTE_2!G39&amp;" – "&amp;[1]CRONO_LOTE_2!P39&amp;" equipe(s)"</f>
        <v>Drenagem Superficial – 1 equipe(s)</v>
      </c>
      <c r="H33" s="9">
        <f>[1]CRONO_LOTE_2!U39</f>
        <v>0</v>
      </c>
      <c r="I33" s="6" t="str">
        <f>[1]CRONO_LOTE_2!C39</f>
        <v>L2-F2</v>
      </c>
      <c r="J33" s="6" t="str">
        <f>[1]CRONO_LOTE_2!B39</f>
        <v>Lote 2 – Patrocínio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1:49">
      <c r="A34" s="6" t="str">
        <f>[1]CRONO_LOTE_2!G40</f>
        <v>Sinalização Vertical</v>
      </c>
      <c r="B34" s="6" t="str">
        <f>[1]CRONO_LOTE_2!C40&amp;"."&amp;[1]CRONO_LOTE_2!D40</f>
        <v>L2-F2.6.1</v>
      </c>
      <c r="C34" s="6">
        <f>[1]CRONO_LOTE_2!E40</f>
        <v>2</v>
      </c>
      <c r="D34" s="7">
        <f>[1]CRONO_LOTE_2!R40</f>
        <v>46704</v>
      </c>
      <c r="E34" s="7">
        <f>[1]CRONO_LOTE_2!S40</f>
        <v>46710</v>
      </c>
      <c r="F34" s="8">
        <f>[1]CRONO_LOTE_2!Q40</f>
        <v>5</v>
      </c>
      <c r="G34" s="6" t="str">
        <f>[1]CRONO_LOTE_2!G40&amp;" – "&amp;[1]CRONO_LOTE_2!P40&amp;" equipe(s)"</f>
        <v>Sinalização Vertical – 1 equipe(s)</v>
      </c>
      <c r="H34" s="9">
        <f>[1]CRONO_LOTE_2!U40</f>
        <v>0</v>
      </c>
      <c r="I34" s="6" t="str">
        <f>[1]CRONO_LOTE_2!C40</f>
        <v>L2-F2</v>
      </c>
      <c r="J34" s="6" t="str">
        <f>[1]CRONO_LOTE_2!B40</f>
        <v>Lote 2 – Patrocínio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1:49">
      <c r="A35" s="6" t="str">
        <f>[1]CRONO_LOTE_2!G41</f>
        <v>Sinalização Horizontal</v>
      </c>
      <c r="B35" s="6" t="str">
        <f>[1]CRONO_LOTE_2!C41&amp;"."&amp;[1]CRONO_LOTE_2!D41</f>
        <v>L2-F2.6.2</v>
      </c>
      <c r="C35" s="6">
        <f>[1]CRONO_LOTE_2!E41</f>
        <v>2</v>
      </c>
      <c r="D35" s="7">
        <f>[1]CRONO_LOTE_2!R41</f>
        <v>46715</v>
      </c>
      <c r="E35" s="7">
        <f>[1]CRONO_LOTE_2!S41</f>
        <v>46717</v>
      </c>
      <c r="F35" s="8">
        <f>[1]CRONO_LOTE_2!Q41</f>
        <v>3</v>
      </c>
      <c r="G35" s="6" t="str">
        <f>[1]CRONO_LOTE_2!G41&amp;" – "&amp;[1]CRONO_LOTE_2!P41&amp;" equipe(s)"</f>
        <v>Sinalização Horizontal – 1 equipe(s)</v>
      </c>
      <c r="H35" s="9">
        <f>[1]CRONO_LOTE_2!U41</f>
        <v>0</v>
      </c>
      <c r="I35" s="6" t="str">
        <f>[1]CRONO_LOTE_2!C41</f>
        <v>L2-F2</v>
      </c>
      <c r="J35" s="6" t="str">
        <f>[1]CRONO_LOTE_2!B41</f>
        <v>Lote 2 – Patrocínio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1:49">
      <c r="A36" s="6" t="str">
        <f>[1]CRONO_LOTE_2!G42</f>
        <v>EPS – Elementos de Proteção e Segurança</v>
      </c>
      <c r="B36" s="6" t="str">
        <f>[1]CRONO_LOTE_2!C42&amp;"."&amp;[1]CRONO_LOTE_2!D42</f>
        <v>L2-F2.6.3</v>
      </c>
      <c r="C36" s="6">
        <f>[1]CRONO_LOTE_2!E42</f>
        <v>2</v>
      </c>
      <c r="D36" s="7">
        <f>[1]CRONO_LOTE_2!R42</f>
        <v>46699</v>
      </c>
      <c r="E36" s="7">
        <f>[1]CRONO_LOTE_2!S42</f>
        <v>46720</v>
      </c>
      <c r="F36" s="8">
        <f>[1]CRONO_LOTE_2!Q42</f>
        <v>17</v>
      </c>
      <c r="G36" s="6" t="str">
        <f>[1]CRONO_LOTE_2!G42&amp;" – "&amp;[1]CRONO_LOTE_2!P42&amp;" equipe(s)"</f>
        <v>EPS – Elementos de Proteção e Segurança – 1 equipe(s)</v>
      </c>
      <c r="H36" s="9">
        <f>[1]CRONO_LOTE_2!U42</f>
        <v>0</v>
      </c>
      <c r="I36" s="6" t="str">
        <f>[1]CRONO_LOTE_2!C42</f>
        <v>L2-F2</v>
      </c>
      <c r="J36" s="6" t="str">
        <f>[1]CRONO_LOTE_2!B42</f>
        <v>Lote 2 – Patrocínio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1:49">
      <c r="A37" s="6" t="str">
        <f>[1]CRONO_LOTE_2!G43</f>
        <v>Obras Complementares</v>
      </c>
      <c r="B37" s="6" t="str">
        <f>[1]CRONO_LOTE_2!C43&amp;"."&amp;[1]CRONO_LOTE_2!D43</f>
        <v>L2-F2.7</v>
      </c>
      <c r="C37" s="6">
        <f>[1]CRONO_LOTE_2!E43</f>
        <v>1</v>
      </c>
      <c r="D37" s="7">
        <f>[1]CRONO_LOTE_2!R43</f>
        <v>46715</v>
      </c>
      <c r="E37" s="7">
        <f>[1]CRONO_LOTE_2!S43</f>
        <v>46738</v>
      </c>
      <c r="F37" s="8">
        <f>[1]CRONO_LOTE_2!Q43</f>
        <v>21</v>
      </c>
      <c r="G37" s="6" t="str">
        <f>[1]CRONO_LOTE_2!G43&amp;" – "&amp;[1]CRONO_LOTE_2!P43&amp;" equipe(s)"</f>
        <v>Obras Complementares – 1 equipe(s)</v>
      </c>
      <c r="H37" s="9">
        <f>[1]CRONO_LOTE_2!U43</f>
        <v>0</v>
      </c>
      <c r="I37" s="6" t="str">
        <f>[1]CRONO_LOTE_2!C43</f>
        <v>L2-F2</v>
      </c>
      <c r="J37" s="6" t="str">
        <f>[1]CRONO_LOTE_2!B43</f>
        <v>Lote 2 – Patrocínio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1:4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1:4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1:4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1:4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1:4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1:4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1:4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spans="1:4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1:4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1:4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1:4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1: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1:4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1:4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1:4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1:4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spans="1:4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1:4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</row>
    <row r="56" spans="1:4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</row>
    <row r="57" spans="1:4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 spans="1:4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 spans="1:4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</row>
    <row r="60" spans="1:4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</row>
    <row r="61" spans="1:4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</row>
    <row r="62" spans="1:4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</row>
    <row r="63" spans="1:4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</row>
    <row r="64" spans="1:4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</row>
    <row r="65" spans="1:4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 spans="1:4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</row>
    <row r="67" spans="1:4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</row>
    <row r="68" spans="1:4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</row>
    <row r="69" spans="1:4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 spans="1:4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</row>
    <row r="71" spans="1:4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 spans="1:4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 spans="1:4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</row>
    <row r="74" spans="1:4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</row>
    <row r="75" spans="1:4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</row>
    <row r="76" spans="1:4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 spans="1:4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 spans="1:4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 spans="1:4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</row>
    <row r="80" spans="1:4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</row>
    <row r="81" spans="1:4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 spans="1:4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</row>
    <row r="83" spans="1:4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</row>
    <row r="84" spans="1:4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</row>
    <row r="85" spans="1:4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</row>
    <row r="86" spans="1:4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</row>
    <row r="87" spans="1:4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</row>
    <row r="88" spans="1:4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</row>
    <row r="89" spans="1:4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</row>
    <row r="90" spans="1:4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</row>
    <row r="91" spans="1:49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</row>
    <row r="92" spans="1:49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</row>
    <row r="93" spans="1:4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</row>
    <row r="94" spans="1:49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</row>
    <row r="95" spans="1:49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</row>
    <row r="96" spans="1:49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</row>
    <row r="97" spans="1:49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</row>
    <row r="98" spans="1:4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</row>
    <row r="99" spans="1:4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</row>
    <row r="100" spans="1:49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</row>
    <row r="101" spans="1:49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</row>
    <row r="102" spans="1:49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 spans="1:49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</row>
    <row r="104" spans="1:4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 spans="1:4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</row>
    <row r="106" spans="1:49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 spans="1:49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 spans="1:49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</row>
    <row r="109" spans="1:4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</row>
    <row r="110" spans="1:49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</row>
    <row r="111" spans="1:49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</row>
    <row r="112" spans="1:49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</row>
    <row r="113" spans="1:49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</row>
    <row r="114" spans="1:49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</row>
    <row r="115" spans="1:49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</row>
    <row r="116" spans="1:49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</row>
    <row r="117" spans="1:49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</row>
    <row r="118" spans="1:49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</row>
    <row r="119" spans="1:4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</row>
    <row r="120" spans="1:49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 spans="1:49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</row>
    <row r="122" spans="1:49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</row>
    <row r="123" spans="1:49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</row>
    <row r="124" spans="1:49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</row>
    <row r="125" spans="1:49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</row>
    <row r="126" spans="1:49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</row>
    <row r="127" spans="1:49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</row>
    <row r="128" spans="1:49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</row>
    <row r="129" spans="1:4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</row>
    <row r="130" spans="1:49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</row>
    <row r="131" spans="1:49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</row>
    <row r="132" spans="1:49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</row>
    <row r="133" spans="1:49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</row>
    <row r="134" spans="1:49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</row>
    <row r="135" spans="1:49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</row>
    <row r="136" spans="1:49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</row>
    <row r="137" spans="1:4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7337C-00AA-402F-826A-2E93675C6163}">
  <dimension ref="A1:AW200"/>
  <sheetViews>
    <sheetView workbookViewId="0">
      <selection activeCell="H21" sqref="H21"/>
    </sheetView>
  </sheetViews>
  <sheetFormatPr defaultRowHeight="13.8"/>
  <cols>
    <col min="1" max="2" width="10" customWidth="1"/>
    <col min="3" max="3" width="30" customWidth="1"/>
    <col min="4" max="4" width="42" customWidth="1"/>
    <col min="5" max="5" width="12" customWidth="1"/>
    <col min="6" max="6" width="18" customWidth="1"/>
  </cols>
  <sheetData>
    <row r="1" spans="1:49" ht="27.15" customHeight="1">
      <c r="A1" s="1" t="s">
        <v>83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spans="1:4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>
      <c r="A4" s="5" t="s">
        <v>84</v>
      </c>
      <c r="B4" s="5" t="s">
        <v>12</v>
      </c>
      <c r="C4" s="5" t="s">
        <v>14</v>
      </c>
      <c r="D4" s="5" t="s">
        <v>85</v>
      </c>
      <c r="E4" s="5" t="s">
        <v>86</v>
      </c>
      <c r="F4" s="5" t="s">
        <v>87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</row>
    <row r="5" spans="1:49">
      <c r="A5" s="6" t="s">
        <v>88</v>
      </c>
      <c r="B5" s="6" t="s">
        <v>18</v>
      </c>
      <c r="C5" s="6" t="s">
        <v>19</v>
      </c>
      <c r="D5" s="6" t="s">
        <v>20</v>
      </c>
      <c r="E5" s="6" t="s">
        <v>21</v>
      </c>
      <c r="F5" s="10">
        <v>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</row>
    <row r="6" spans="1:49">
      <c r="A6" s="6" t="s">
        <v>89</v>
      </c>
      <c r="B6" s="6" t="s">
        <v>23</v>
      </c>
      <c r="C6" s="6" t="s">
        <v>24</v>
      </c>
      <c r="D6" s="6" t="s">
        <v>25</v>
      </c>
      <c r="E6" s="6" t="s">
        <v>26</v>
      </c>
      <c r="F6" s="10">
        <v>639526.84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</row>
    <row r="7" spans="1:49">
      <c r="A7" s="6" t="s">
        <v>90</v>
      </c>
      <c r="B7" s="6" t="s">
        <v>28</v>
      </c>
      <c r="C7" s="6" t="s">
        <v>29</v>
      </c>
      <c r="D7" s="6" t="s">
        <v>30</v>
      </c>
      <c r="E7" s="6" t="s">
        <v>31</v>
      </c>
      <c r="F7" s="10">
        <v>507329.55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</row>
    <row r="8" spans="1:49">
      <c r="A8" s="6" t="s">
        <v>91</v>
      </c>
      <c r="B8" s="6" t="s">
        <v>33</v>
      </c>
      <c r="C8" s="6" t="s">
        <v>29</v>
      </c>
      <c r="D8" s="6" t="s">
        <v>34</v>
      </c>
      <c r="E8" s="6" t="s">
        <v>31</v>
      </c>
      <c r="F8" s="10">
        <v>1813.07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49">
      <c r="A9" s="6" t="s">
        <v>92</v>
      </c>
      <c r="B9" s="6" t="s">
        <v>36</v>
      </c>
      <c r="C9" s="6" t="s">
        <v>29</v>
      </c>
      <c r="D9" s="6" t="s">
        <v>37</v>
      </c>
      <c r="E9" s="6" t="s">
        <v>31</v>
      </c>
      <c r="F9" s="10"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</row>
    <row r="10" spans="1:49">
      <c r="A10" s="6" t="s">
        <v>93</v>
      </c>
      <c r="B10" s="6" t="s">
        <v>39</v>
      </c>
      <c r="C10" s="6" t="s">
        <v>29</v>
      </c>
      <c r="D10" s="6" t="s">
        <v>40</v>
      </c>
      <c r="E10" s="6" t="s">
        <v>31</v>
      </c>
      <c r="F10" s="10">
        <v>2821.5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</row>
    <row r="11" spans="1:49">
      <c r="A11" s="6" t="s">
        <v>94</v>
      </c>
      <c r="B11" s="6" t="s">
        <v>42</v>
      </c>
      <c r="C11" s="6" t="s">
        <v>29</v>
      </c>
      <c r="D11" s="6" t="s">
        <v>43</v>
      </c>
      <c r="E11" s="6" t="s">
        <v>31</v>
      </c>
      <c r="F11" s="10">
        <v>293043.53000000003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</row>
    <row r="12" spans="1:49">
      <c r="A12" s="6" t="s">
        <v>95</v>
      </c>
      <c r="B12" s="6" t="s">
        <v>45</v>
      </c>
      <c r="C12" s="6" t="s">
        <v>29</v>
      </c>
      <c r="D12" s="6" t="s">
        <v>46</v>
      </c>
      <c r="E12" s="6" t="s">
        <v>31</v>
      </c>
      <c r="F12" s="10">
        <v>116698.22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</row>
    <row r="13" spans="1:49">
      <c r="A13" s="6" t="s">
        <v>96</v>
      </c>
      <c r="B13" s="6" t="s">
        <v>47</v>
      </c>
      <c r="C13" s="6" t="s">
        <v>48</v>
      </c>
      <c r="D13" s="6" t="s">
        <v>49</v>
      </c>
      <c r="E13" s="6" t="s">
        <v>26</v>
      </c>
      <c r="F13" s="10">
        <v>218309.66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49">
      <c r="A14" s="6" t="s">
        <v>97</v>
      </c>
      <c r="B14" s="6" t="s">
        <v>51</v>
      </c>
      <c r="C14" s="6" t="s">
        <v>48</v>
      </c>
      <c r="D14" s="6" t="s">
        <v>52</v>
      </c>
      <c r="E14" s="6" t="s">
        <v>31</v>
      </c>
      <c r="F14" s="10">
        <v>37112.18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>
      <c r="A15" s="6" t="s">
        <v>98</v>
      </c>
      <c r="B15" s="6" t="s">
        <v>53</v>
      </c>
      <c r="C15" s="6" t="s">
        <v>48</v>
      </c>
      <c r="D15" s="6" t="s">
        <v>54</v>
      </c>
      <c r="E15" s="6" t="s">
        <v>31</v>
      </c>
      <c r="F15" s="10">
        <v>37117.130000000005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>
      <c r="A16" s="6" t="s">
        <v>99</v>
      </c>
      <c r="B16" s="6" t="s">
        <v>56</v>
      </c>
      <c r="C16" s="6" t="s">
        <v>48</v>
      </c>
      <c r="D16" s="6" t="s">
        <v>57</v>
      </c>
      <c r="E16" s="6" t="s">
        <v>58</v>
      </c>
      <c r="F16" s="10">
        <v>36003.22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>
      <c r="A17" s="6" t="s">
        <v>100</v>
      </c>
      <c r="B17" s="6" t="s">
        <v>60</v>
      </c>
      <c r="C17" s="6" t="s">
        <v>61</v>
      </c>
      <c r="D17" s="6" t="s">
        <v>62</v>
      </c>
      <c r="E17" s="6" t="s">
        <v>63</v>
      </c>
      <c r="F17" s="10">
        <v>1051.17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1:49">
      <c r="A18" s="6" t="s">
        <v>101</v>
      </c>
      <c r="B18" s="6" t="s">
        <v>65</v>
      </c>
      <c r="C18" s="6" t="s">
        <v>61</v>
      </c>
      <c r="D18" s="6" t="s">
        <v>66</v>
      </c>
      <c r="E18" s="6" t="s">
        <v>63</v>
      </c>
      <c r="F18" s="10">
        <v>135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>
      <c r="A19" s="6" t="s">
        <v>102</v>
      </c>
      <c r="B19" s="6" t="s">
        <v>67</v>
      </c>
      <c r="C19" s="6" t="s">
        <v>61</v>
      </c>
      <c r="D19" s="6" t="s">
        <v>68</v>
      </c>
      <c r="E19" s="6" t="s">
        <v>63</v>
      </c>
      <c r="F19" s="10">
        <v>37001.01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1:49">
      <c r="A20" s="6" t="s">
        <v>103</v>
      </c>
      <c r="B20" s="6" t="s">
        <v>70</v>
      </c>
      <c r="C20" s="6" t="s">
        <v>71</v>
      </c>
      <c r="D20" s="6" t="s">
        <v>72</v>
      </c>
      <c r="E20" s="6" t="s">
        <v>73</v>
      </c>
      <c r="F20" s="10">
        <v>221.9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1:49">
      <c r="A21" s="6" t="s">
        <v>104</v>
      </c>
      <c r="B21" s="6" t="s">
        <v>75</v>
      </c>
      <c r="C21" s="6" t="s">
        <v>71</v>
      </c>
      <c r="D21" s="6" t="s">
        <v>76</v>
      </c>
      <c r="E21" s="6" t="s">
        <v>26</v>
      </c>
      <c r="F21" s="10">
        <v>11948.5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1:49">
      <c r="A22" s="6" t="s">
        <v>105</v>
      </c>
      <c r="B22" s="6" t="s">
        <v>77</v>
      </c>
      <c r="C22" s="6" t="s">
        <v>71</v>
      </c>
      <c r="D22" s="6" t="s">
        <v>78</v>
      </c>
      <c r="E22" s="6" t="s">
        <v>63</v>
      </c>
      <c r="F22" s="10">
        <v>7376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1:49">
      <c r="A23" s="6" t="s">
        <v>106</v>
      </c>
      <c r="B23" s="6" t="s">
        <v>79</v>
      </c>
      <c r="C23" s="6" t="s">
        <v>80</v>
      </c>
      <c r="D23" s="6" t="s">
        <v>80</v>
      </c>
      <c r="E23" s="6" t="s">
        <v>81</v>
      </c>
      <c r="F23" s="10">
        <v>351120.99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49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1:49">
      <c r="A25" s="4" t="s">
        <v>107</v>
      </c>
      <c r="B25" s="4"/>
      <c r="C25" s="4"/>
      <c r="D25" s="4"/>
      <c r="E25" s="4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1:49">
      <c r="A26" s="2"/>
      <c r="B26" s="2"/>
      <c r="C26" s="2"/>
      <c r="D26" s="2"/>
      <c r="E26" s="2"/>
      <c r="F26" s="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1:49">
      <c r="A27" s="2"/>
      <c r="B27" s="2"/>
      <c r="C27" s="2"/>
      <c r="D27" s="2"/>
      <c r="E27" s="2"/>
      <c r="F27" s="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1:49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1:4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1:4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1:4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1:4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1:4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1:4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1:4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1:4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1:4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1:4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1:4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1:4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1:4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1:4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1:4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1:4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spans="1:4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1:4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1:4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1:4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1: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1:4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1:4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1:49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1:49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spans="1:49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1:49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</row>
    <row r="56" spans="1:49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</row>
    <row r="57" spans="1:4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</row>
    <row r="58" spans="1:4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 spans="1:4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</row>
    <row r="60" spans="1:4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</row>
    <row r="61" spans="1:4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</row>
    <row r="62" spans="1:4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</row>
    <row r="63" spans="1:4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</row>
    <row r="64" spans="1:4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</row>
    <row r="65" spans="1:4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 spans="1:4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</row>
    <row r="67" spans="1:4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</row>
    <row r="68" spans="1:4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</row>
    <row r="69" spans="1:4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 spans="1:4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</row>
    <row r="71" spans="1:4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 spans="1:4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 spans="1:4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</row>
    <row r="74" spans="1:4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</row>
    <row r="75" spans="1:4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</row>
    <row r="76" spans="1:4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 spans="1:4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 spans="1:4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 spans="1:4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</row>
    <row r="80" spans="1:4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</row>
    <row r="81" spans="1:4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 spans="1:4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</row>
    <row r="83" spans="1:4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</row>
    <row r="84" spans="1:4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</row>
    <row r="85" spans="1:4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</row>
    <row r="86" spans="1:4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</row>
    <row r="87" spans="1:4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</row>
    <row r="88" spans="1:4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</row>
    <row r="89" spans="1:4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</row>
    <row r="90" spans="1:4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</row>
    <row r="91" spans="1:49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</row>
    <row r="92" spans="1:49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</row>
    <row r="93" spans="1:4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</row>
    <row r="94" spans="1:49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</row>
    <row r="95" spans="1:49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</row>
    <row r="96" spans="1:49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</row>
    <row r="97" spans="1:49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</row>
    <row r="98" spans="1:4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</row>
    <row r="99" spans="1:4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</row>
    <row r="100" spans="1:49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</row>
    <row r="101" spans="1:49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</row>
    <row r="102" spans="1:49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 spans="1:49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</row>
    <row r="104" spans="1:4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 spans="1:4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</row>
    <row r="106" spans="1:49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 spans="1:49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 spans="1:49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</row>
    <row r="109" spans="1:4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</row>
    <row r="110" spans="1:49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</row>
    <row r="111" spans="1:49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</row>
    <row r="112" spans="1:49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</row>
    <row r="113" spans="1:49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</row>
    <row r="114" spans="1:49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</row>
    <row r="115" spans="1:49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</row>
    <row r="116" spans="1:49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</row>
    <row r="117" spans="1:49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</row>
    <row r="118" spans="1:49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</row>
    <row r="119" spans="1:4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</row>
    <row r="120" spans="1:49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 spans="1:49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</row>
    <row r="122" spans="1:49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</row>
    <row r="123" spans="1:49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</row>
    <row r="124" spans="1:49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</row>
    <row r="125" spans="1:49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</row>
    <row r="126" spans="1:49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</row>
    <row r="127" spans="1:49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</row>
    <row r="128" spans="1:49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</row>
    <row r="129" spans="1:4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</row>
    <row r="130" spans="1:49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</row>
    <row r="131" spans="1:49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</row>
    <row r="132" spans="1:49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</row>
    <row r="133" spans="1:49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</row>
    <row r="134" spans="1:49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</row>
    <row r="135" spans="1:49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</row>
    <row r="136" spans="1:49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</row>
    <row r="137" spans="1:49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</row>
    <row r="138" spans="1:49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</row>
    <row r="139" spans="1:4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</row>
    <row r="140" spans="1:49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</row>
    <row r="141" spans="1:49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</row>
    <row r="142" spans="1:49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</row>
    <row r="143" spans="1:49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</row>
    <row r="144" spans="1:49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</row>
    <row r="145" spans="1:49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</row>
    <row r="146" spans="1:49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</row>
    <row r="147" spans="1:49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</row>
    <row r="148" spans="1:49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</row>
    <row r="149" spans="1: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</row>
    <row r="150" spans="1:49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</row>
    <row r="151" spans="1:49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</row>
    <row r="152" spans="1:49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</row>
    <row r="153" spans="1:49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</row>
    <row r="154" spans="1:49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</row>
    <row r="155" spans="1:49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</row>
    <row r="156" spans="1:49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</row>
    <row r="157" spans="1:49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</row>
    <row r="158" spans="1:49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</row>
    <row r="159" spans="1:4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</row>
    <row r="160" spans="1:49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</row>
    <row r="161" spans="1:49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</row>
    <row r="162" spans="1:49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</row>
    <row r="163" spans="1:49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</row>
    <row r="164" spans="1:49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</row>
    <row r="165" spans="1:49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</row>
    <row r="166" spans="1:49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</row>
    <row r="167" spans="1:49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</row>
    <row r="168" spans="1:49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</row>
    <row r="169" spans="1:4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</row>
    <row r="170" spans="1:49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</row>
    <row r="171" spans="1:49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</row>
    <row r="172" spans="1:49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</row>
    <row r="173" spans="1:49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</row>
    <row r="174" spans="1:49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</row>
    <row r="175" spans="1:49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</row>
    <row r="176" spans="1:49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</row>
    <row r="177" spans="1:49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</row>
    <row r="178" spans="1:49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</row>
    <row r="179" spans="1:4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</row>
    <row r="180" spans="1:49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</row>
    <row r="181" spans="1:49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</row>
    <row r="182" spans="1:49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</row>
    <row r="183" spans="1:49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</row>
    <row r="184" spans="1:49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</row>
    <row r="185" spans="1:49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</row>
    <row r="186" spans="1:49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</row>
    <row r="187" spans="1:49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</row>
    <row r="188" spans="1:49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</row>
    <row r="189" spans="1:4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</row>
    <row r="190" spans="1:49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</row>
    <row r="191" spans="1:49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</row>
    <row r="192" spans="1:49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</row>
    <row r="193" spans="1:49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</row>
    <row r="194" spans="1:49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</row>
    <row r="195" spans="1:49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</row>
    <row r="196" spans="1:49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</row>
    <row r="197" spans="1:49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</row>
    <row r="198" spans="1:49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</row>
    <row r="199" spans="1:4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</row>
    <row r="200" spans="1:49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</row>
  </sheetData>
  <mergeCells count="2">
    <mergeCell ref="A1:F1"/>
    <mergeCell ref="A25:F27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A963-4D47-416F-97B2-7566A3B4562C}">
  <dimension ref="A1:AZ200"/>
  <sheetViews>
    <sheetView tabSelected="1" workbookViewId="0">
      <selection sqref="A1:F1"/>
    </sheetView>
  </sheetViews>
  <sheetFormatPr defaultRowHeight="13.8"/>
  <cols>
    <col min="1" max="2" width="10" customWidth="1"/>
    <col min="3" max="3" width="30" customWidth="1"/>
    <col min="4" max="4" width="42" customWidth="1"/>
    <col min="5" max="5" width="12" customWidth="1"/>
    <col min="6" max="6" width="46" customWidth="1"/>
  </cols>
  <sheetData>
    <row r="1" spans="1:52" ht="27.15" customHeight="1">
      <c r="A1" s="1" t="s">
        <v>11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spans="1:5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2">
      <c r="A5" s="6" t="s">
        <v>18</v>
      </c>
      <c r="B5" s="6">
        <v>1</v>
      </c>
      <c r="C5" s="6" t="s">
        <v>19</v>
      </c>
      <c r="D5" s="6" t="s">
        <v>20</v>
      </c>
      <c r="E5" s="6" t="s">
        <v>21</v>
      </c>
      <c r="F5" s="6" t="s">
        <v>22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</row>
    <row r="6" spans="1:52">
      <c r="A6" s="6" t="s">
        <v>23</v>
      </c>
      <c r="B6" s="6">
        <v>1</v>
      </c>
      <c r="C6" s="6" t="s">
        <v>24</v>
      </c>
      <c r="D6" s="6" t="s">
        <v>25</v>
      </c>
      <c r="E6" s="6" t="s">
        <v>26</v>
      </c>
      <c r="F6" s="6" t="s">
        <v>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</row>
    <row r="7" spans="1:52">
      <c r="A7" s="6" t="s">
        <v>28</v>
      </c>
      <c r="B7" s="6">
        <v>2</v>
      </c>
      <c r="C7" s="6" t="s">
        <v>29</v>
      </c>
      <c r="D7" s="6" t="s">
        <v>30</v>
      </c>
      <c r="E7" s="6" t="s">
        <v>31</v>
      </c>
      <c r="F7" s="6" t="s">
        <v>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</row>
    <row r="8" spans="1:52">
      <c r="A8" s="6" t="s">
        <v>33</v>
      </c>
      <c r="B8" s="6">
        <v>2</v>
      </c>
      <c r="C8" s="6" t="s">
        <v>29</v>
      </c>
      <c r="D8" s="6" t="s">
        <v>34</v>
      </c>
      <c r="E8" s="6" t="s">
        <v>31</v>
      </c>
      <c r="F8" s="6" t="s">
        <v>35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</row>
    <row r="9" spans="1:52">
      <c r="A9" s="6" t="s">
        <v>36</v>
      </c>
      <c r="B9" s="6">
        <v>2</v>
      </c>
      <c r="C9" s="6" t="s">
        <v>29</v>
      </c>
      <c r="D9" s="6" t="s">
        <v>37</v>
      </c>
      <c r="E9" s="6" t="s">
        <v>31</v>
      </c>
      <c r="F9" s="6" t="s">
        <v>38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2">
      <c r="A10" s="6" t="s">
        <v>39</v>
      </c>
      <c r="B10" s="6">
        <v>2</v>
      </c>
      <c r="C10" s="6" t="s">
        <v>29</v>
      </c>
      <c r="D10" s="6" t="s">
        <v>40</v>
      </c>
      <c r="E10" s="6" t="s">
        <v>31</v>
      </c>
      <c r="F10" s="6" t="s">
        <v>41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2">
      <c r="A11" s="6" t="s">
        <v>42</v>
      </c>
      <c r="B11" s="6">
        <v>2</v>
      </c>
      <c r="C11" s="6" t="s">
        <v>29</v>
      </c>
      <c r="D11" s="6" t="s">
        <v>43</v>
      </c>
      <c r="E11" s="6" t="s">
        <v>31</v>
      </c>
      <c r="F11" s="6" t="s">
        <v>44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2">
      <c r="A12" s="6" t="s">
        <v>45</v>
      </c>
      <c r="B12" s="6">
        <v>2</v>
      </c>
      <c r="C12" s="6" t="s">
        <v>29</v>
      </c>
      <c r="D12" s="6" t="s">
        <v>46</v>
      </c>
      <c r="E12" s="6" t="s">
        <v>31</v>
      </c>
      <c r="F12" s="6" t="s">
        <v>44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2">
      <c r="A13" s="6" t="s">
        <v>47</v>
      </c>
      <c r="B13" s="6">
        <v>2</v>
      </c>
      <c r="C13" s="6" t="s">
        <v>48</v>
      </c>
      <c r="D13" s="6" t="s">
        <v>49</v>
      </c>
      <c r="E13" s="6" t="s">
        <v>26</v>
      </c>
      <c r="F13" s="6" t="s">
        <v>50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2">
      <c r="A14" s="6" t="s">
        <v>51</v>
      </c>
      <c r="B14" s="6">
        <v>2</v>
      </c>
      <c r="C14" s="6" t="s">
        <v>48</v>
      </c>
      <c r="D14" s="6" t="s">
        <v>52</v>
      </c>
      <c r="E14" s="6" t="s">
        <v>31</v>
      </c>
      <c r="F14" s="6" t="s">
        <v>44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2">
      <c r="A15" s="6" t="s">
        <v>53</v>
      </c>
      <c r="B15" s="6">
        <v>2</v>
      </c>
      <c r="C15" s="6" t="s">
        <v>48</v>
      </c>
      <c r="D15" s="6" t="s">
        <v>54</v>
      </c>
      <c r="E15" s="6" t="s">
        <v>31</v>
      </c>
      <c r="F15" s="6" t="s">
        <v>55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</row>
    <row r="16" spans="1:52">
      <c r="A16" s="6" t="s">
        <v>56</v>
      </c>
      <c r="B16" s="6">
        <v>2</v>
      </c>
      <c r="C16" s="6" t="s">
        <v>48</v>
      </c>
      <c r="D16" s="6" t="s">
        <v>57</v>
      </c>
      <c r="E16" s="6" t="s">
        <v>58</v>
      </c>
      <c r="F16" s="6" t="s">
        <v>59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</row>
    <row r="17" spans="1:52">
      <c r="A17" s="6" t="s">
        <v>60</v>
      </c>
      <c r="B17" s="6">
        <v>3</v>
      </c>
      <c r="C17" s="6" t="s">
        <v>61</v>
      </c>
      <c r="D17" s="6" t="s">
        <v>62</v>
      </c>
      <c r="E17" s="6" t="s">
        <v>63</v>
      </c>
      <c r="F17" s="6" t="s">
        <v>64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</row>
    <row r="18" spans="1:52">
      <c r="A18" s="6" t="s">
        <v>65</v>
      </c>
      <c r="B18" s="6">
        <v>3</v>
      </c>
      <c r="C18" s="6" t="s">
        <v>61</v>
      </c>
      <c r="D18" s="6" t="s">
        <v>66</v>
      </c>
      <c r="E18" s="6" t="s">
        <v>63</v>
      </c>
      <c r="F18" s="6" t="s">
        <v>41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2">
      <c r="A19" s="6" t="s">
        <v>67</v>
      </c>
      <c r="B19" s="6">
        <v>2</v>
      </c>
      <c r="C19" s="6" t="s">
        <v>61</v>
      </c>
      <c r="D19" s="6" t="s">
        <v>68</v>
      </c>
      <c r="E19" s="6" t="s">
        <v>63</v>
      </c>
      <c r="F19" s="6" t="s">
        <v>69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2">
      <c r="A20" s="6" t="s">
        <v>70</v>
      </c>
      <c r="B20" s="6">
        <v>2</v>
      </c>
      <c r="C20" s="6" t="s">
        <v>71</v>
      </c>
      <c r="D20" s="6" t="s">
        <v>72</v>
      </c>
      <c r="E20" s="6" t="s">
        <v>73</v>
      </c>
      <c r="F20" s="6" t="s">
        <v>74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2">
      <c r="A21" s="6" t="s">
        <v>75</v>
      </c>
      <c r="B21" s="6">
        <v>2</v>
      </c>
      <c r="C21" s="6" t="s">
        <v>71</v>
      </c>
      <c r="D21" s="6" t="s">
        <v>76</v>
      </c>
      <c r="E21" s="6" t="s">
        <v>26</v>
      </c>
      <c r="F21" s="6" t="s">
        <v>74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2">
      <c r="A22" s="6" t="s">
        <v>77</v>
      </c>
      <c r="B22" s="6">
        <v>2</v>
      </c>
      <c r="C22" s="6" t="s">
        <v>71</v>
      </c>
      <c r="D22" s="6" t="s">
        <v>78</v>
      </c>
      <c r="E22" s="6" t="s">
        <v>63</v>
      </c>
      <c r="F22" s="6" t="s">
        <v>74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2">
      <c r="A23" s="6" t="s">
        <v>79</v>
      </c>
      <c r="B23" s="6">
        <v>1</v>
      </c>
      <c r="C23" s="6" t="s">
        <v>80</v>
      </c>
      <c r="D23" s="6" t="s">
        <v>80</v>
      </c>
      <c r="E23" s="6" t="s">
        <v>81</v>
      </c>
      <c r="F23" s="6" t="s">
        <v>82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EXPORT_PROJECT</vt:lpstr>
      <vt:lpstr>BASE_QTD_L2</vt:lpstr>
      <vt:lpstr>BASE_EAP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Oliveira De Azevedo</dc:creator>
  <cp:lastModifiedBy>Eduardo Oliveira De Azevedo</cp:lastModifiedBy>
  <dcterms:created xsi:type="dcterms:W3CDTF">2026-07-15T23:31:23Z</dcterms:created>
  <dcterms:modified xsi:type="dcterms:W3CDTF">2026-07-16T00:01:08Z</dcterms:modified>
</cp:coreProperties>
</file>